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  <sheet name="Assump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<sst xmlns="http://schemas.openxmlformats.org/spreadsheetml/2006/main" count="1930" uniqueCount="156">
  <si>
    <t xml:space="preserve">Region</t>
  </si>
  <si>
    <t xml:space="preserve">State</t>
  </si>
  <si>
    <t xml:space="preserve">City</t>
  </si>
  <si>
    <t xml:space="preserve">Account</t>
  </si>
  <si>
    <t xml:space="preserve">Order ID</t>
  </si>
  <si>
    <t xml:space="preserve">Order Date</t>
  </si>
  <si>
    <t xml:space="preserve">Ship Date</t>
  </si>
  <si>
    <t xml:space="preserve">Days to Ship</t>
  </si>
  <si>
    <t xml:space="preserve">Sales Rep</t>
  </si>
  <si>
    <t xml:space="preserve">Channel</t>
  </si>
  <si>
    <t xml:space="preserve">Category</t>
  </si>
  <si>
    <t xml:space="preserve">Product</t>
  </si>
  <si>
    <t xml:space="preserve">SKU</t>
  </si>
  <si>
    <t xml:space="preserve">Qty</t>
  </si>
  <si>
    <t xml:space="preserve">Unit Price</t>
  </si>
  <si>
    <t xml:space="preserve">Extended</t>
  </si>
  <si>
    <t xml:space="preserve">Discount %</t>
  </si>
  <si>
    <t xml:space="preserve">Discount Amt</t>
  </si>
  <si>
    <t xml:space="preserve">Net</t>
  </si>
  <si>
    <t xml:space="preserve">Sales Tax</t>
  </si>
  <si>
    <t xml:space="preserve">Total</t>
  </si>
  <si>
    <t xml:space="preserve">Shipping</t>
  </si>
  <si>
    <t xml:space="preserve">Landed Total</t>
  </si>
  <si>
    <t xml:space="preserve">Status</t>
  </si>
  <si>
    <t xml:space="preserve">Notes</t>
  </si>
  <si>
    <t xml:space="preserve">Midwest</t>
  </si>
  <si>
    <t xml:space="preserve">Kentucky</t>
  </si>
  <si>
    <t xml:space="preserve">Louisville</t>
  </si>
  <si>
    <t xml:space="preserve">Ridge Distributors</t>
  </si>
  <si>
    <t xml:space="preserve">M. Okafor</t>
  </si>
  <si>
    <t xml:space="preserve">Online</t>
  </si>
  <si>
    <t xml:space="preserve">Hand Tools</t>
  </si>
  <si>
    <t xml:space="preserve">Torpedo Level 9 in</t>
  </si>
  <si>
    <t xml:space="preserve">HT-0900</t>
  </si>
  <si>
    <t xml:space="preserve">Shipped</t>
  </si>
  <si>
    <t xml:space="preserve">Distributor</t>
  </si>
  <si>
    <t xml:space="preserve">Safety</t>
  </si>
  <si>
    <t xml:space="preserve">Safety Glasses, Clear (12)</t>
  </si>
  <si>
    <t xml:space="preserve">SF-0012</t>
  </si>
  <si>
    <t xml:space="preserve">Backordered</t>
  </si>
  <si>
    <t xml:space="preserve">Granite Fabrication</t>
  </si>
  <si>
    <t xml:space="preserve">A. Reyes</t>
  </si>
  <si>
    <t xml:space="preserve">Direct</t>
  </si>
  <si>
    <t xml:space="preserve">Electrical</t>
  </si>
  <si>
    <t xml:space="preserve">Duplex Outlet 15A (10)</t>
  </si>
  <si>
    <t xml:space="preserve">EL-1510</t>
  </si>
  <si>
    <t xml:space="preserve">Delivered</t>
  </si>
  <si>
    <t xml:space="preserve">Damaged in transit; replaced</t>
  </si>
  <si>
    <t xml:space="preserve">Fasteners</t>
  </si>
  <si>
    <t xml:space="preserve">Deck Screw #10 x 3 (5 lb)</t>
  </si>
  <si>
    <t xml:space="preserve">FAS-1003</t>
  </si>
  <si>
    <t xml:space="preserve">Open</t>
  </si>
  <si>
    <t xml:space="preserve">New account</t>
  </si>
  <si>
    <t xml:space="preserve">Anchor Outfitters</t>
  </si>
  <si>
    <t xml:space="preserve">Lag Screw 3/8 x 4 (50)</t>
  </si>
  <si>
    <t xml:space="preserve">FAS-3804</t>
  </si>
  <si>
    <t xml:space="preserve">LED Shop Light 4 ft</t>
  </si>
  <si>
    <t xml:space="preserve">EL-0400</t>
  </si>
  <si>
    <t xml:space="preserve">Reorder of prior PO</t>
  </si>
  <si>
    <t xml:space="preserve">Power Tools</t>
  </si>
  <si>
    <t xml:space="preserve">Angle Grinder 4-1/2 in</t>
  </si>
  <si>
    <t xml:space="preserve">PT-4500</t>
  </si>
  <si>
    <t xml:space="preserve">Adjustable Wrench 10 in</t>
  </si>
  <si>
    <t xml:space="preserve">HT-1000</t>
  </si>
  <si>
    <t xml:space="preserve">Customer pickup</t>
  </si>
  <si>
    <t xml:space="preserve">Lexington</t>
  </si>
  <si>
    <t xml:space="preserve">Beacon Industrial</t>
  </si>
  <si>
    <t xml:space="preserve">Rush order</t>
  </si>
  <si>
    <t xml:space="preserve">Romex 12/2 NM-B 250 ft</t>
  </si>
  <si>
    <t xml:space="preserve">EL-1225</t>
  </si>
  <si>
    <t xml:space="preserve">Oak Outfitters</t>
  </si>
  <si>
    <t xml:space="preserve">Framing Hammer 22 oz</t>
  </si>
  <si>
    <t xml:space="preserve">HT-2200</t>
  </si>
  <si>
    <t xml:space="preserve">Partial shipment</t>
  </si>
  <si>
    <t xml:space="preserve">Beacon Distributors</t>
  </si>
  <si>
    <t xml:space="preserve">Cordless Drill 20V Kit</t>
  </si>
  <si>
    <t xml:space="preserve">PT-2001</t>
  </si>
  <si>
    <t xml:space="preserve">Hex Bolt 1/2 x 2, Zinc (100)</t>
  </si>
  <si>
    <t xml:space="preserve">FAS-1020</t>
  </si>
  <si>
    <t xml:space="preserve">Ohio</t>
  </si>
  <si>
    <t xml:space="preserve">Cincinnati</t>
  </si>
  <si>
    <t xml:space="preserve">Ridge Fabrication</t>
  </si>
  <si>
    <t xml:space="preserve">Circular Saw 7-1/4 in</t>
  </si>
  <si>
    <t xml:space="preserve">PT-7250</t>
  </si>
  <si>
    <t xml:space="preserve">Net 30 terms</t>
  </si>
  <si>
    <t xml:space="preserve">Riverside Distributors</t>
  </si>
  <si>
    <t xml:space="preserve">Hard Hat, Type I</t>
  </si>
  <si>
    <t xml:space="preserve">SF-0001</t>
  </si>
  <si>
    <t xml:space="preserve">Cedar Farm &amp; Feed</t>
  </si>
  <si>
    <t xml:space="preserve">Columbus</t>
  </si>
  <si>
    <t xml:space="preserve">Maple Farm &amp; Feed</t>
  </si>
  <si>
    <t xml:space="preserve">Willow Distributors</t>
  </si>
  <si>
    <t xml:space="preserve">Pioneer Building Products</t>
  </si>
  <si>
    <t xml:space="preserve">Nitrile Gloves, L (100)</t>
  </si>
  <si>
    <t xml:space="preserve">SF-0100</t>
  </si>
  <si>
    <t xml:space="preserve">Indiana</t>
  </si>
  <si>
    <t xml:space="preserve">Indianapolis</t>
  </si>
  <si>
    <t xml:space="preserve">Prairie Outfitters</t>
  </si>
  <si>
    <t xml:space="preserve">Falcon Distributors</t>
  </si>
  <si>
    <t xml:space="preserve">South</t>
  </si>
  <si>
    <t xml:space="preserve">Tennessee</t>
  </si>
  <si>
    <t xml:space="preserve">Nashville</t>
  </si>
  <si>
    <t xml:space="preserve">Falcon Supply Co</t>
  </si>
  <si>
    <t xml:space="preserve">J. Whitfield</t>
  </si>
  <si>
    <t xml:space="preserve">S. Nakamura</t>
  </si>
  <si>
    <t xml:space="preserve">Granite Outfitters</t>
  </si>
  <si>
    <t xml:space="preserve">Memphis</t>
  </si>
  <si>
    <t xml:space="preserve">Prairie Distributors</t>
  </si>
  <si>
    <t xml:space="preserve">Willow Hardware</t>
  </si>
  <si>
    <t xml:space="preserve">Georgia</t>
  </si>
  <si>
    <t xml:space="preserve">Atlanta</t>
  </si>
  <si>
    <t xml:space="preserve">Summit Fabrication</t>
  </si>
  <si>
    <t xml:space="preserve">Summit Farm &amp; Feed</t>
  </si>
  <si>
    <t xml:space="preserve">Ironwood Fabrication</t>
  </si>
  <si>
    <t xml:space="preserve">Texas</t>
  </si>
  <si>
    <t xml:space="preserve">Dallas</t>
  </si>
  <si>
    <t xml:space="preserve">Falcon Building Products</t>
  </si>
  <si>
    <t xml:space="preserve">Austin</t>
  </si>
  <si>
    <t xml:space="preserve">Falcon Hardware</t>
  </si>
  <si>
    <t xml:space="preserve">Prairie Hardware</t>
  </si>
  <si>
    <t xml:space="preserve">Northgate Industrial</t>
  </si>
  <si>
    <t xml:space="preserve">Houston</t>
  </si>
  <si>
    <t xml:space="preserve">Oak Supply Co</t>
  </si>
  <si>
    <t xml:space="preserve">Beacon Fabrication</t>
  </si>
  <si>
    <t xml:space="preserve">Oak Fabrication</t>
  </si>
  <si>
    <t xml:space="preserve">East</t>
  </si>
  <si>
    <t xml:space="preserve">Pennsylvania</t>
  </si>
  <si>
    <t xml:space="preserve">Pittsburgh</t>
  </si>
  <si>
    <t xml:space="preserve">Maple Fabrication</t>
  </si>
  <si>
    <t xml:space="preserve">L. Brandt</t>
  </si>
  <si>
    <t xml:space="preserve">T. O'Connell</t>
  </si>
  <si>
    <t xml:space="preserve">Summit Building Products</t>
  </si>
  <si>
    <t xml:space="preserve">Maple Building Products</t>
  </si>
  <si>
    <t xml:space="preserve">Philadelphia</t>
  </si>
  <si>
    <t xml:space="preserve">Prairie Farm &amp; Feed</t>
  </si>
  <si>
    <t xml:space="preserve">New York</t>
  </si>
  <si>
    <t xml:space="preserve">Albany</t>
  </si>
  <si>
    <t xml:space="preserve">Granite Industrial</t>
  </si>
  <si>
    <t xml:space="preserve">Willow Outfitters</t>
  </si>
  <si>
    <t xml:space="preserve">West</t>
  </si>
  <si>
    <t xml:space="preserve">Colorado</t>
  </si>
  <si>
    <t xml:space="preserve">Denver</t>
  </si>
  <si>
    <t xml:space="preserve">Willow Building Products</t>
  </si>
  <si>
    <t xml:space="preserve">K. Dawson</t>
  </si>
  <si>
    <t xml:space="preserve">R. Chen</t>
  </si>
  <si>
    <t xml:space="preserve">Beacon Supply Co</t>
  </si>
  <si>
    <t xml:space="preserve">Colorado Springs</t>
  </si>
  <si>
    <t xml:space="preserve">Willow Fabrication</t>
  </si>
  <si>
    <t xml:space="preserve">Arizona</t>
  </si>
  <si>
    <t xml:space="preserve">Phoenix</t>
  </si>
  <si>
    <t xml:space="preserve">Oak Farm &amp; Feed</t>
  </si>
  <si>
    <t xml:space="preserve">Riverside Building Products</t>
  </si>
  <si>
    <t xml:space="preserve">Assumption</t>
  </si>
  <si>
    <t xml:space="preserve">Value</t>
  </si>
  <si>
    <t xml:space="preserve">Sales tax rate</t>
  </si>
  <si>
    <t xml:space="preserve">Data is fictional and generated for documentation screenshots.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</si>
</sst>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yyyy\-mm\-dd"/>
    <numFmt numFmtId="167" formatCode="#,##0.00"/>
    <numFmt numFmtId="168" formatCode="0%"/>
    <numFmt numFmtId="169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Orders" displayName="tblOrders" ref="A1:Y180" headerRowCount="1" totalsRowCount="0" totalsRowShown="0">
  <autoFilter ref="A1:Y180"/>
  <tableColumns count="25">
    <tableColumn id="1" name="Region"/>
    <tableColumn id="2" name="State"/>
    <tableColumn id="3" name="City"/>
    <tableColumn id="4" name="Account"/>
    <tableColumn id="5" name="Order ID"/>
    <tableColumn id="6" name="Order Date"/>
    <tableColumn id="7" name="Ship Date"/>
    <tableColumn id="8" name="Days to Ship"/>
    <tableColumn id="9" name="Sales Rep"/>
    <tableColumn id="10" name="Channel"/>
    <tableColumn id="11" name="Category"/>
    <tableColumn id="12" name="Product"/>
    <tableColumn id="13" name="SKU"/>
    <tableColumn id="14" name="Qty"/>
    <tableColumn id="15" name="Unit Price"/>
    <tableColumn id="16" name="Extended"/>
    <tableColumn id="17" name="Discount %"/>
    <tableColumn id="18" name="Discount Amt"/>
    <tableColumn id="19" name="Net"/>
    <tableColumn id="20" name="Sales Tax"/>
    <tableColumn id="21" name="Total"/>
    <tableColumn id="22" name="Shipping"/>
    <tableColumn id="23" name="Landed Total"/>
    <tableColumn id="24" name="Status"/>
    <tableColumn id="25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30"/>
    <col collapsed="false" customWidth="true" hidden="false" outlineLevel="0" max="13" min="13" style="0" width="10"/>
    <col collapsed="false" customWidth="true" hidden="false" outlineLevel="0" max="14" min="14" style="0" width="6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8" min="18" style="0" width="12"/>
    <col collapsed="false" customWidth="true" hidden="false" outlineLevel="0" max="19" min="19" style="0" width="11"/>
    <col collapsed="false" customWidth="true" hidden="false" outlineLevel="0" max="20" min="20" style="0" width="10"/>
    <col collapsed="false" customWidth="true" hidden="false" outlineLevel="0" max="21" min="21" style="0" width="11"/>
    <col collapsed="false" customWidth="true" hidden="false" outlineLevel="0" max="22" min="22" style="0" width="9"/>
    <col collapsed="false" customWidth="true" hidden="false" outlineLevel="0" max="23" min="23" style="0" width="13"/>
    <col collapsed="false" customWidth="true" hidden="false" outlineLevel="0" max="24" min="24" style="0" width="12"/>
    <col collapsed="false" customWidth="true" hidden="false" outlineLevel="0" max="25" min="25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41000</v>
      </c>
      <c r="F2" s="4" t="n">
        <v>46232</v>
      </c>
      <c r="G2" s="4" t="n">
        <v>46238</v>
      </c>
      <c r="H2" s="3" t="n">
        <f aca="false">IF(G2="","",G2-F2)</f>
        <v>6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3" t="n">
        <v>50</v>
      </c>
      <c r="O2" s="5" t="n">
        <v>14.25</v>
      </c>
      <c r="P2" s="5" t="n">
        <f aca="false">N2*O2</f>
        <v>712.5</v>
      </c>
      <c r="Q2" s="6" t="n">
        <v>0</v>
      </c>
      <c r="R2" s="5" t="n">
        <f aca="false">ROUND(P2*Q2,2)</f>
        <v>0</v>
      </c>
      <c r="S2" s="5" t="n">
        <f aca="false">P2-R2</f>
        <v>712.5</v>
      </c>
      <c r="T2" s="5" t="n">
        <f aca="false">ROUND(S2*Assumptions!$B$2,2)</f>
        <v>42.75</v>
      </c>
      <c r="U2" s="5" t="n">
        <f aca="false">S2+T2</f>
        <v>755.25</v>
      </c>
      <c r="V2" s="5" t="n">
        <v>6.12</v>
      </c>
      <c r="W2" s="5" t="n">
        <f aca="false">U2+V2</f>
        <v>761.37</v>
      </c>
      <c r="X2" s="2" t="s">
        <v>34</v>
      </c>
      <c r="Y2" s="2"/>
    </row>
    <row r="3" customFormat="false" ht="15" hidden="false" customHeight="false" outlineLevel="0" collapsed="false">
      <c r="A3" s="2" t="s">
        <v>25</v>
      </c>
      <c r="B3" s="2" t="s">
        <v>26</v>
      </c>
      <c r="C3" s="2" t="s">
        <v>27</v>
      </c>
      <c r="D3" s="2" t="s">
        <v>28</v>
      </c>
      <c r="E3" s="3" t="n">
        <v>41004</v>
      </c>
      <c r="F3" s="4" t="n">
        <v>46174</v>
      </c>
      <c r="G3" s="4"/>
      <c r="H3" s="3" t="str">
        <f aca="false">IF(G3="","",G3-F3)</f>
        <v/>
      </c>
      <c r="I3" s="2" t="s">
        <v>29</v>
      </c>
      <c r="J3" s="2" t="s">
        <v>35</v>
      </c>
      <c r="K3" s="2" t="s">
        <v>36</v>
      </c>
      <c r="L3" s="2" t="s">
        <v>37</v>
      </c>
      <c r="M3" s="2" t="s">
        <v>38</v>
      </c>
      <c r="N3" s="3" t="n">
        <v>50</v>
      </c>
      <c r="O3" s="5" t="n">
        <v>27.6</v>
      </c>
      <c r="P3" s="5" t="n">
        <f aca="false">N3*O3</f>
        <v>1380</v>
      </c>
      <c r="Q3" s="6" t="n">
        <v>0.1</v>
      </c>
      <c r="R3" s="5" t="n">
        <f aca="false">ROUND(P3*Q3,2)</f>
        <v>138</v>
      </c>
      <c r="S3" s="5" t="n">
        <f aca="false">P3-R3</f>
        <v>1242</v>
      </c>
      <c r="T3" s="5" t="n">
        <f aca="false">ROUND(S3*Assumptions!$B$2,2)</f>
        <v>74.52</v>
      </c>
      <c r="U3" s="5" t="n">
        <f aca="false">S3+T3</f>
        <v>1316.52</v>
      </c>
      <c r="V3" s="5" t="n">
        <v>27.9</v>
      </c>
      <c r="W3" s="5" t="n">
        <f aca="false">U3+V3</f>
        <v>1344.42</v>
      </c>
      <c r="X3" s="2" t="s">
        <v>39</v>
      </c>
      <c r="Y3" s="2"/>
    </row>
    <row r="4" customFormat="false" ht="15" hidden="false" customHeight="false" outlineLevel="0" collapsed="false">
      <c r="A4" s="2" t="s">
        <v>25</v>
      </c>
      <c r="B4" s="2" t="s">
        <v>26</v>
      </c>
      <c r="C4" s="2" t="s">
        <v>27</v>
      </c>
      <c r="D4" s="2" t="s">
        <v>40</v>
      </c>
      <c r="E4" s="3" t="n">
        <v>41008</v>
      </c>
      <c r="F4" s="4" t="n">
        <v>46029</v>
      </c>
      <c r="G4" s="4" t="n">
        <v>46030</v>
      </c>
      <c r="H4" s="3" t="n">
        <f aca="false">IF(G4="","",G4-F4)</f>
        <v>1</v>
      </c>
      <c r="I4" s="2" t="s">
        <v>41</v>
      </c>
      <c r="J4" s="2" t="s">
        <v>42</v>
      </c>
      <c r="K4" s="2" t="s">
        <v>43</v>
      </c>
      <c r="L4" s="2" t="s">
        <v>44</v>
      </c>
      <c r="M4" s="2" t="s">
        <v>45</v>
      </c>
      <c r="N4" s="3" t="n">
        <v>10</v>
      </c>
      <c r="O4" s="5" t="n">
        <v>13.4</v>
      </c>
      <c r="P4" s="5" t="n">
        <f aca="false">N4*O4</f>
        <v>134</v>
      </c>
      <c r="Q4" s="6" t="n">
        <v>0.15</v>
      </c>
      <c r="R4" s="5" t="n">
        <f aca="false">ROUND(P4*Q4,2)</f>
        <v>20.1</v>
      </c>
      <c r="S4" s="5" t="n">
        <f aca="false">P4-R4</f>
        <v>113.9</v>
      </c>
      <c r="T4" s="5" t="n">
        <f aca="false">ROUND(S4*Assumptions!$B$2,2)</f>
        <v>6.83</v>
      </c>
      <c r="U4" s="5" t="n">
        <f aca="false">S4+T4</f>
        <v>120.73</v>
      </c>
      <c r="V4" s="5" t="n">
        <v>25.42</v>
      </c>
      <c r="W4" s="5" t="n">
        <f aca="false">U4+V4</f>
        <v>146.15</v>
      </c>
      <c r="X4" s="2" t="s">
        <v>46</v>
      </c>
      <c r="Y4" s="2" t="s">
        <v>47</v>
      </c>
    </row>
    <row r="5" customFormat="false" ht="15" hidden="false" customHeight="false" outlineLevel="0" collapsed="false">
      <c r="A5" s="2" t="s">
        <v>25</v>
      </c>
      <c r="B5" s="2" t="s">
        <v>26</v>
      </c>
      <c r="C5" s="2" t="s">
        <v>27</v>
      </c>
      <c r="D5" s="2" t="s">
        <v>40</v>
      </c>
      <c r="E5" s="3" t="n">
        <v>41011</v>
      </c>
      <c r="F5" s="4" t="n">
        <v>46077</v>
      </c>
      <c r="G5" s="4"/>
      <c r="H5" s="3" t="str">
        <f aca="false">IF(G5="","",G5-F5)</f>
        <v/>
      </c>
      <c r="I5" s="2" t="s">
        <v>29</v>
      </c>
      <c r="J5" s="2" t="s">
        <v>30</v>
      </c>
      <c r="K5" s="2" t="s">
        <v>48</v>
      </c>
      <c r="L5" s="2" t="s">
        <v>49</v>
      </c>
      <c r="M5" s="2" t="s">
        <v>50</v>
      </c>
      <c r="N5" s="3" t="n">
        <v>50</v>
      </c>
      <c r="O5" s="5" t="n">
        <v>31.9</v>
      </c>
      <c r="P5" s="5" t="n">
        <f aca="false">N5*O5</f>
        <v>1595</v>
      </c>
      <c r="Q5" s="6" t="n">
        <v>0</v>
      </c>
      <c r="R5" s="5" t="n">
        <f aca="false">ROUND(P5*Q5,2)</f>
        <v>0</v>
      </c>
      <c r="S5" s="5" t="n">
        <f aca="false">P5-R5</f>
        <v>1595</v>
      </c>
      <c r="T5" s="5" t="n">
        <f aca="false">ROUND(S5*Assumptions!$B$2,2)</f>
        <v>95.7</v>
      </c>
      <c r="U5" s="5" t="n">
        <f aca="false">S5+T5</f>
        <v>1690.7</v>
      </c>
      <c r="V5" s="5" t="n">
        <v>0</v>
      </c>
      <c r="W5" s="5" t="n">
        <f aca="false">U5+V5</f>
        <v>1690.7</v>
      </c>
      <c r="X5" s="2" t="s">
        <v>51</v>
      </c>
      <c r="Y5" s="2" t="s">
        <v>52</v>
      </c>
    </row>
    <row r="6" customFormat="false" ht="15" hidden="false" customHeight="false" outlineLevel="0" collapsed="false">
      <c r="A6" s="2" t="s">
        <v>25</v>
      </c>
      <c r="B6" s="2" t="s">
        <v>26</v>
      </c>
      <c r="C6" s="2" t="s">
        <v>27</v>
      </c>
      <c r="D6" s="2" t="s">
        <v>40</v>
      </c>
      <c r="E6" s="3" t="n">
        <v>41013</v>
      </c>
      <c r="F6" s="4" t="n">
        <v>46257</v>
      </c>
      <c r="G6" s="4" t="n">
        <v>46262</v>
      </c>
      <c r="H6" s="3" t="n">
        <f aca="false">IF(G6="","",G6-F6)</f>
        <v>5</v>
      </c>
      <c r="I6" s="2" t="s">
        <v>29</v>
      </c>
      <c r="J6" s="2" t="s">
        <v>35</v>
      </c>
      <c r="K6" s="2" t="s">
        <v>48</v>
      </c>
      <c r="L6" s="2" t="s">
        <v>49</v>
      </c>
      <c r="M6" s="2" t="s">
        <v>50</v>
      </c>
      <c r="N6" s="3" t="n">
        <v>10</v>
      </c>
      <c r="O6" s="5" t="n">
        <v>31.9</v>
      </c>
      <c r="P6" s="5" t="n">
        <f aca="false">N6*O6</f>
        <v>319</v>
      </c>
      <c r="Q6" s="6" t="n">
        <v>0</v>
      </c>
      <c r="R6" s="5" t="n">
        <f aca="false">ROUND(P6*Q6,2)</f>
        <v>0</v>
      </c>
      <c r="S6" s="5" t="n">
        <f aca="false">P6-R6</f>
        <v>319</v>
      </c>
      <c r="T6" s="5" t="n">
        <f aca="false">ROUND(S6*Assumptions!$B$2,2)</f>
        <v>19.14</v>
      </c>
      <c r="U6" s="5" t="n">
        <f aca="false">S6+T6</f>
        <v>338.14</v>
      </c>
      <c r="V6" s="5" t="n">
        <v>38.82</v>
      </c>
      <c r="W6" s="5" t="n">
        <f aca="false">U6+V6</f>
        <v>376.96</v>
      </c>
      <c r="X6" s="2" t="s">
        <v>46</v>
      </c>
      <c r="Y6" s="2"/>
    </row>
    <row r="7" customFormat="false" ht="15" hidden="false" customHeight="false" outlineLevel="0" collapsed="false">
      <c r="A7" s="2" t="s">
        <v>25</v>
      </c>
      <c r="B7" s="2" t="s">
        <v>26</v>
      </c>
      <c r="C7" s="2" t="s">
        <v>27</v>
      </c>
      <c r="D7" s="2" t="s">
        <v>53</v>
      </c>
      <c r="E7" s="3" t="n">
        <v>41019</v>
      </c>
      <c r="F7" s="4" t="n">
        <v>46045</v>
      </c>
      <c r="G7" s="4" t="n">
        <v>46049</v>
      </c>
      <c r="H7" s="3" t="n">
        <f aca="false">IF(G7="","",G7-F7)</f>
        <v>4</v>
      </c>
      <c r="I7" s="2" t="s">
        <v>29</v>
      </c>
      <c r="J7" s="2" t="s">
        <v>30</v>
      </c>
      <c r="K7" s="2" t="s">
        <v>48</v>
      </c>
      <c r="L7" s="2" t="s">
        <v>54</v>
      </c>
      <c r="M7" s="2" t="s">
        <v>55</v>
      </c>
      <c r="N7" s="3" t="n">
        <v>6</v>
      </c>
      <c r="O7" s="5" t="n">
        <v>22.75</v>
      </c>
      <c r="P7" s="5" t="n">
        <f aca="false">N7*O7</f>
        <v>136.5</v>
      </c>
      <c r="Q7" s="6" t="n">
        <v>0.05</v>
      </c>
      <c r="R7" s="5" t="n">
        <f aca="false">ROUND(P7*Q7,2)</f>
        <v>6.83</v>
      </c>
      <c r="S7" s="5" t="n">
        <f aca="false">P7-R7</f>
        <v>129.67</v>
      </c>
      <c r="T7" s="5" t="n">
        <f aca="false">ROUND(S7*Assumptions!$B$2,2)</f>
        <v>7.78</v>
      </c>
      <c r="U7" s="5" t="n">
        <f aca="false">S7+T7</f>
        <v>137.45</v>
      </c>
      <c r="V7" s="5" t="n">
        <v>1</v>
      </c>
      <c r="W7" s="5" t="n">
        <f aca="false">U7+V7</f>
        <v>138.45</v>
      </c>
      <c r="X7" s="2" t="s">
        <v>46</v>
      </c>
      <c r="Y7" s="2" t="s">
        <v>52</v>
      </c>
    </row>
    <row r="8" customFormat="false" ht="15" hidden="false" customHeight="false" outlineLevel="0" collapsed="false">
      <c r="A8" s="2" t="s">
        <v>25</v>
      </c>
      <c r="B8" s="2" t="s">
        <v>26</v>
      </c>
      <c r="C8" s="2" t="s">
        <v>27</v>
      </c>
      <c r="D8" s="2" t="s">
        <v>53</v>
      </c>
      <c r="E8" s="3" t="n">
        <v>41023</v>
      </c>
      <c r="F8" s="4" t="n">
        <v>46140</v>
      </c>
      <c r="G8" s="4" t="n">
        <v>46149</v>
      </c>
      <c r="H8" s="3" t="n">
        <f aca="false">IF(G8="","",G8-F8)</f>
        <v>9</v>
      </c>
      <c r="I8" s="2" t="s">
        <v>41</v>
      </c>
      <c r="J8" s="2" t="s">
        <v>42</v>
      </c>
      <c r="K8" s="2" t="s">
        <v>43</v>
      </c>
      <c r="L8" s="2" t="s">
        <v>56</v>
      </c>
      <c r="M8" s="2" t="s">
        <v>57</v>
      </c>
      <c r="N8" s="3" t="n">
        <v>15</v>
      </c>
      <c r="O8" s="5" t="n">
        <v>42</v>
      </c>
      <c r="P8" s="5" t="n">
        <f aca="false">N8*O8</f>
        <v>630</v>
      </c>
      <c r="Q8" s="6" t="n">
        <v>0</v>
      </c>
      <c r="R8" s="5" t="n">
        <f aca="false">ROUND(P8*Q8,2)</f>
        <v>0</v>
      </c>
      <c r="S8" s="5" t="n">
        <f aca="false">P8-R8</f>
        <v>630</v>
      </c>
      <c r="T8" s="5" t="n">
        <f aca="false">ROUND(S8*Assumptions!$B$2,2)</f>
        <v>37.8</v>
      </c>
      <c r="U8" s="5" t="n">
        <f aca="false">S8+T8</f>
        <v>667.8</v>
      </c>
      <c r="V8" s="5" t="n">
        <v>31.69</v>
      </c>
      <c r="W8" s="5" t="n">
        <f aca="false">U8+V8</f>
        <v>699.49</v>
      </c>
      <c r="X8" s="2" t="s">
        <v>46</v>
      </c>
      <c r="Y8" s="2" t="s">
        <v>58</v>
      </c>
    </row>
    <row r="9" customFormat="false" ht="15" hidden="false" customHeight="false" outlineLevel="0" collapsed="false">
      <c r="A9" s="2" t="s">
        <v>25</v>
      </c>
      <c r="B9" s="2" t="s">
        <v>26</v>
      </c>
      <c r="C9" s="2" t="s">
        <v>27</v>
      </c>
      <c r="D9" s="2" t="s">
        <v>53</v>
      </c>
      <c r="E9" s="3" t="n">
        <v>41026</v>
      </c>
      <c r="F9" s="4" t="n">
        <v>46153</v>
      </c>
      <c r="G9" s="4" t="n">
        <v>46162</v>
      </c>
      <c r="H9" s="3" t="n">
        <f aca="false">IF(G9="","",G9-F9)</f>
        <v>9</v>
      </c>
      <c r="I9" s="2" t="s">
        <v>29</v>
      </c>
      <c r="J9" s="2" t="s">
        <v>35</v>
      </c>
      <c r="K9" s="2" t="s">
        <v>59</v>
      </c>
      <c r="L9" s="2" t="s">
        <v>60</v>
      </c>
      <c r="M9" s="2" t="s">
        <v>61</v>
      </c>
      <c r="N9" s="3" t="n">
        <v>8</v>
      </c>
      <c r="O9" s="5" t="n">
        <v>64.5</v>
      </c>
      <c r="P9" s="5" t="n">
        <f aca="false">N9*O9</f>
        <v>516</v>
      </c>
      <c r="Q9" s="6" t="n">
        <v>0.15</v>
      </c>
      <c r="R9" s="5" t="n">
        <f aca="false">ROUND(P9*Q9,2)</f>
        <v>77.4</v>
      </c>
      <c r="S9" s="5" t="n">
        <f aca="false">P9-R9</f>
        <v>438.6</v>
      </c>
      <c r="T9" s="5" t="n">
        <f aca="false">ROUND(S9*Assumptions!$B$2,2)</f>
        <v>26.32</v>
      </c>
      <c r="U9" s="5" t="n">
        <f aca="false">S9+T9</f>
        <v>464.92</v>
      </c>
      <c r="V9" s="5" t="n">
        <v>39.79</v>
      </c>
      <c r="W9" s="5" t="n">
        <f aca="false">U9+V9</f>
        <v>504.71</v>
      </c>
      <c r="X9" s="2" t="s">
        <v>46</v>
      </c>
      <c r="Y9" s="2" t="s">
        <v>47</v>
      </c>
    </row>
    <row r="10" customFormat="false" ht="15" hidden="false" customHeight="false" outlineLevel="0" collapsed="false">
      <c r="A10" s="2" t="s">
        <v>25</v>
      </c>
      <c r="B10" s="2" t="s">
        <v>26</v>
      </c>
      <c r="C10" s="2" t="s">
        <v>27</v>
      </c>
      <c r="D10" s="2" t="s">
        <v>53</v>
      </c>
      <c r="E10" s="3" t="n">
        <v>41027</v>
      </c>
      <c r="F10" s="4" t="n">
        <v>46235</v>
      </c>
      <c r="G10" s="4"/>
      <c r="H10" s="3" t="str">
        <f aca="false">IF(G10="","",G10-F10)</f>
        <v/>
      </c>
      <c r="I10" s="2" t="s">
        <v>41</v>
      </c>
      <c r="J10" s="2" t="s">
        <v>35</v>
      </c>
      <c r="K10" s="2" t="s">
        <v>31</v>
      </c>
      <c r="L10" s="2" t="s">
        <v>62</v>
      </c>
      <c r="M10" s="2" t="s">
        <v>63</v>
      </c>
      <c r="N10" s="3" t="n">
        <v>2</v>
      </c>
      <c r="O10" s="5" t="n">
        <v>19.5</v>
      </c>
      <c r="P10" s="5" t="n">
        <f aca="false">N10*O10</f>
        <v>39</v>
      </c>
      <c r="Q10" s="6" t="n">
        <v>0.1</v>
      </c>
      <c r="R10" s="5" t="n">
        <f aca="false">ROUND(P10*Q10,2)</f>
        <v>3.9</v>
      </c>
      <c r="S10" s="5" t="n">
        <f aca="false">P10-R10</f>
        <v>35.1</v>
      </c>
      <c r="T10" s="5" t="n">
        <f aca="false">ROUND(S10*Assumptions!$B$2,2)</f>
        <v>2.11</v>
      </c>
      <c r="U10" s="5" t="n">
        <f aca="false">S10+T10</f>
        <v>37.21</v>
      </c>
      <c r="V10" s="5" t="n">
        <v>9.02</v>
      </c>
      <c r="W10" s="5" t="n">
        <f aca="false">U10+V10</f>
        <v>46.23</v>
      </c>
      <c r="X10" s="2" t="s">
        <v>39</v>
      </c>
      <c r="Y10" s="2"/>
    </row>
    <row r="11" customFormat="false" ht="15" hidden="false" customHeight="false" outlineLevel="0" collapsed="false">
      <c r="A11" s="2" t="s">
        <v>25</v>
      </c>
      <c r="B11" s="2" t="s">
        <v>26</v>
      </c>
      <c r="C11" s="2" t="s">
        <v>27</v>
      </c>
      <c r="D11" s="2" t="s">
        <v>53</v>
      </c>
      <c r="E11" s="3" t="n">
        <v>41032</v>
      </c>
      <c r="F11" s="4" t="n">
        <v>46024</v>
      </c>
      <c r="G11" s="4" t="n">
        <v>46030</v>
      </c>
      <c r="H11" s="3" t="n">
        <f aca="false">IF(G11="","",G11-F11)</f>
        <v>6</v>
      </c>
      <c r="I11" s="2" t="s">
        <v>29</v>
      </c>
      <c r="J11" s="2" t="s">
        <v>35</v>
      </c>
      <c r="K11" s="2" t="s">
        <v>31</v>
      </c>
      <c r="L11" s="2" t="s">
        <v>62</v>
      </c>
      <c r="M11" s="2" t="s">
        <v>63</v>
      </c>
      <c r="N11" s="3" t="n">
        <v>10</v>
      </c>
      <c r="O11" s="5" t="n">
        <v>19.5</v>
      </c>
      <c r="P11" s="5" t="n">
        <f aca="false">N11*O11</f>
        <v>195</v>
      </c>
      <c r="Q11" s="6" t="n">
        <v>0</v>
      </c>
      <c r="R11" s="5" t="n">
        <f aca="false">ROUND(P11*Q11,2)</f>
        <v>0</v>
      </c>
      <c r="S11" s="5" t="n">
        <f aca="false">P11-R11</f>
        <v>195</v>
      </c>
      <c r="T11" s="5" t="n">
        <f aca="false">ROUND(S11*Assumptions!$B$2,2)</f>
        <v>11.7</v>
      </c>
      <c r="U11" s="5" t="n">
        <f aca="false">S11+T11</f>
        <v>206.7</v>
      </c>
      <c r="V11" s="5" t="n">
        <v>5.33</v>
      </c>
      <c r="W11" s="5" t="n">
        <f aca="false">U11+V11</f>
        <v>212.03</v>
      </c>
      <c r="X11" s="2" t="s">
        <v>46</v>
      </c>
      <c r="Y11" s="2" t="s">
        <v>64</v>
      </c>
    </row>
    <row r="12" customFormat="false" ht="15" hidden="false" customHeight="false" outlineLevel="0" collapsed="false">
      <c r="A12" s="2" t="s">
        <v>25</v>
      </c>
      <c r="B12" s="2" t="s">
        <v>26</v>
      </c>
      <c r="C12" s="2" t="s">
        <v>27</v>
      </c>
      <c r="D12" s="2" t="s">
        <v>53</v>
      </c>
      <c r="E12" s="3" t="n">
        <v>41033</v>
      </c>
      <c r="F12" s="4" t="n">
        <v>46202</v>
      </c>
      <c r="G12" s="4"/>
      <c r="H12" s="3" t="str">
        <f aca="false">IF(G12="","",G12-F12)</f>
        <v/>
      </c>
      <c r="I12" s="2" t="s">
        <v>29</v>
      </c>
      <c r="J12" s="2" t="s">
        <v>35</v>
      </c>
      <c r="K12" s="2" t="s">
        <v>31</v>
      </c>
      <c r="L12" s="2" t="s">
        <v>32</v>
      </c>
      <c r="M12" s="2" t="s">
        <v>33</v>
      </c>
      <c r="N12" s="3" t="n">
        <v>4</v>
      </c>
      <c r="O12" s="5" t="n">
        <v>14.25</v>
      </c>
      <c r="P12" s="5" t="n">
        <f aca="false">N12*O12</f>
        <v>57</v>
      </c>
      <c r="Q12" s="6" t="n">
        <v>0</v>
      </c>
      <c r="R12" s="5" t="n">
        <f aca="false">ROUND(P12*Q12,2)</f>
        <v>0</v>
      </c>
      <c r="S12" s="5" t="n">
        <f aca="false">P12-R12</f>
        <v>57</v>
      </c>
      <c r="T12" s="5" t="n">
        <f aca="false">ROUND(S12*Assumptions!$B$2,2)</f>
        <v>3.42</v>
      </c>
      <c r="U12" s="5" t="n">
        <f aca="false">S12+T12</f>
        <v>60.42</v>
      </c>
      <c r="V12" s="5" t="n">
        <v>0</v>
      </c>
      <c r="W12" s="5" t="n">
        <f aca="false">U12+V12</f>
        <v>60.42</v>
      </c>
      <c r="X12" s="2" t="s">
        <v>51</v>
      </c>
      <c r="Y12" s="2" t="s">
        <v>52</v>
      </c>
    </row>
    <row r="13" customFormat="false" ht="15" hidden="false" customHeight="false" outlineLevel="0" collapsed="false">
      <c r="A13" s="2" t="s">
        <v>25</v>
      </c>
      <c r="B13" s="2" t="s">
        <v>26</v>
      </c>
      <c r="C13" s="2" t="s">
        <v>65</v>
      </c>
      <c r="D13" s="2" t="s">
        <v>66</v>
      </c>
      <c r="E13" s="3" t="n">
        <v>41035</v>
      </c>
      <c r="F13" s="4" t="n">
        <v>46254</v>
      </c>
      <c r="G13" s="4" t="n">
        <v>46259</v>
      </c>
      <c r="H13" s="3" t="n">
        <f aca="false">IF(G13="","",G13-F13)</f>
        <v>5</v>
      </c>
      <c r="I13" s="2" t="s">
        <v>41</v>
      </c>
      <c r="J13" s="2" t="s">
        <v>35</v>
      </c>
      <c r="K13" s="2" t="s">
        <v>48</v>
      </c>
      <c r="L13" s="2" t="s">
        <v>54</v>
      </c>
      <c r="M13" s="2" t="s">
        <v>55</v>
      </c>
      <c r="N13" s="3" t="n">
        <v>20</v>
      </c>
      <c r="O13" s="5" t="n">
        <v>22.75</v>
      </c>
      <c r="P13" s="5" t="n">
        <f aca="false">N13*O13</f>
        <v>455</v>
      </c>
      <c r="Q13" s="6" t="n">
        <v>0.15</v>
      </c>
      <c r="R13" s="5" t="n">
        <f aca="false">ROUND(P13*Q13,2)</f>
        <v>68.25</v>
      </c>
      <c r="S13" s="5" t="n">
        <f aca="false">P13-R13</f>
        <v>386.75</v>
      </c>
      <c r="T13" s="5" t="n">
        <f aca="false">ROUND(S13*Assumptions!$B$2,2)</f>
        <v>23.21</v>
      </c>
      <c r="U13" s="5" t="n">
        <f aca="false">S13+T13</f>
        <v>409.96</v>
      </c>
      <c r="V13" s="5" t="n">
        <v>22.32</v>
      </c>
      <c r="W13" s="5" t="n">
        <f aca="false">U13+V13</f>
        <v>432.28</v>
      </c>
      <c r="X13" s="2" t="s">
        <v>46</v>
      </c>
      <c r="Y13" s="2" t="s">
        <v>67</v>
      </c>
    </row>
    <row r="14" customFormat="false" ht="15" hidden="false" customHeight="false" outlineLevel="0" collapsed="false">
      <c r="A14" s="2" t="s">
        <v>25</v>
      </c>
      <c r="B14" s="2" t="s">
        <v>26</v>
      </c>
      <c r="C14" s="2" t="s">
        <v>65</v>
      </c>
      <c r="D14" s="2" t="s">
        <v>66</v>
      </c>
      <c r="E14" s="3" t="n">
        <v>41038</v>
      </c>
      <c r="F14" s="4" t="n">
        <v>46037</v>
      </c>
      <c r="G14" s="4"/>
      <c r="H14" s="3" t="str">
        <f aca="false">IF(G14="","",G14-F14)</f>
        <v/>
      </c>
      <c r="I14" s="2" t="s">
        <v>29</v>
      </c>
      <c r="J14" s="2" t="s">
        <v>30</v>
      </c>
      <c r="K14" s="2" t="s">
        <v>59</v>
      </c>
      <c r="L14" s="2" t="s">
        <v>60</v>
      </c>
      <c r="M14" s="2" t="s">
        <v>61</v>
      </c>
      <c r="N14" s="3" t="n">
        <v>40</v>
      </c>
      <c r="O14" s="5" t="n">
        <v>64.5</v>
      </c>
      <c r="P14" s="5" t="n">
        <f aca="false">N14*O14</f>
        <v>2580</v>
      </c>
      <c r="Q14" s="6" t="n">
        <v>0</v>
      </c>
      <c r="R14" s="5" t="n">
        <f aca="false">ROUND(P14*Q14,2)</f>
        <v>0</v>
      </c>
      <c r="S14" s="5" t="n">
        <f aca="false">P14-R14</f>
        <v>2580</v>
      </c>
      <c r="T14" s="5" t="n">
        <f aca="false">ROUND(S14*Assumptions!$B$2,2)</f>
        <v>154.8</v>
      </c>
      <c r="U14" s="5" t="n">
        <f aca="false">S14+T14</f>
        <v>2734.8</v>
      </c>
      <c r="V14" s="5" t="n">
        <v>0</v>
      </c>
      <c r="W14" s="5" t="n">
        <f aca="false">U14+V14</f>
        <v>2734.8</v>
      </c>
      <c r="X14" s="2" t="s">
        <v>51</v>
      </c>
      <c r="Y14" s="2" t="s">
        <v>52</v>
      </c>
    </row>
    <row r="15" customFormat="false" ht="15" hidden="false" customHeight="false" outlineLevel="0" collapsed="false">
      <c r="A15" s="2" t="s">
        <v>25</v>
      </c>
      <c r="B15" s="2" t="s">
        <v>26</v>
      </c>
      <c r="C15" s="2" t="s">
        <v>65</v>
      </c>
      <c r="D15" s="2" t="s">
        <v>66</v>
      </c>
      <c r="E15" s="3" t="n">
        <v>41041</v>
      </c>
      <c r="F15" s="4" t="n">
        <v>46237</v>
      </c>
      <c r="G15" s="4" t="n">
        <v>46239</v>
      </c>
      <c r="H15" s="3" t="n">
        <f aca="false">IF(G15="","",G15-F15)</f>
        <v>2</v>
      </c>
      <c r="I15" s="2" t="s">
        <v>29</v>
      </c>
      <c r="J15" s="2" t="s">
        <v>30</v>
      </c>
      <c r="K15" s="2" t="s">
        <v>43</v>
      </c>
      <c r="L15" s="2" t="s">
        <v>68</v>
      </c>
      <c r="M15" s="2" t="s">
        <v>69</v>
      </c>
      <c r="N15" s="3" t="n">
        <v>5</v>
      </c>
      <c r="O15" s="5" t="n">
        <v>118</v>
      </c>
      <c r="P15" s="5" t="n">
        <f aca="false">N15*O15</f>
        <v>590</v>
      </c>
      <c r="Q15" s="6" t="n">
        <v>0</v>
      </c>
      <c r="R15" s="5" t="n">
        <f aca="false">ROUND(P15*Q15,2)</f>
        <v>0</v>
      </c>
      <c r="S15" s="5" t="n">
        <f aca="false">P15-R15</f>
        <v>590</v>
      </c>
      <c r="T15" s="5" t="n">
        <f aca="false">ROUND(S15*Assumptions!$B$2,2)</f>
        <v>35.4</v>
      </c>
      <c r="U15" s="5" t="n">
        <f aca="false">S15+T15</f>
        <v>625.4</v>
      </c>
      <c r="V15" s="5" t="n">
        <v>22.86</v>
      </c>
      <c r="W15" s="5" t="n">
        <f aca="false">U15+V15</f>
        <v>648.26</v>
      </c>
      <c r="X15" s="2" t="s">
        <v>46</v>
      </c>
      <c r="Y15" s="2"/>
    </row>
    <row r="16" customFormat="false" ht="15" hidden="false" customHeight="false" outlineLevel="0" collapsed="false">
      <c r="A16" s="2" t="s">
        <v>25</v>
      </c>
      <c r="B16" s="2" t="s">
        <v>26</v>
      </c>
      <c r="C16" s="2" t="s">
        <v>65</v>
      </c>
      <c r="D16" s="2" t="s">
        <v>66</v>
      </c>
      <c r="E16" s="3" t="n">
        <v>41047</v>
      </c>
      <c r="F16" s="4" t="n">
        <v>46118</v>
      </c>
      <c r="G16" s="4" t="n">
        <v>46120</v>
      </c>
      <c r="H16" s="3" t="n">
        <f aca="false">IF(G16="","",G16-F16)</f>
        <v>2</v>
      </c>
      <c r="I16" s="2" t="s">
        <v>29</v>
      </c>
      <c r="J16" s="2" t="s">
        <v>30</v>
      </c>
      <c r="K16" s="2" t="s">
        <v>43</v>
      </c>
      <c r="L16" s="2" t="s">
        <v>56</v>
      </c>
      <c r="M16" s="2" t="s">
        <v>57</v>
      </c>
      <c r="N16" s="3" t="n">
        <v>24</v>
      </c>
      <c r="O16" s="5" t="n">
        <v>42</v>
      </c>
      <c r="P16" s="5" t="n">
        <f aca="false">N16*O16</f>
        <v>1008</v>
      </c>
      <c r="Q16" s="6" t="n">
        <v>0.1</v>
      </c>
      <c r="R16" s="5" t="n">
        <f aca="false">ROUND(P16*Q16,2)</f>
        <v>100.8</v>
      </c>
      <c r="S16" s="5" t="n">
        <f aca="false">P16-R16</f>
        <v>907.2</v>
      </c>
      <c r="T16" s="5" t="n">
        <f aca="false">ROUND(S16*Assumptions!$B$2,2)</f>
        <v>54.43</v>
      </c>
      <c r="U16" s="5" t="n">
        <f aca="false">S16+T16</f>
        <v>961.63</v>
      </c>
      <c r="V16" s="5" t="n">
        <v>11.44</v>
      </c>
      <c r="W16" s="5" t="n">
        <f aca="false">U16+V16</f>
        <v>973.07</v>
      </c>
      <c r="X16" s="2" t="s">
        <v>46</v>
      </c>
      <c r="Y16" s="2"/>
    </row>
    <row r="17" customFormat="false" ht="15" hidden="false" customHeight="false" outlineLevel="0" collapsed="false">
      <c r="A17" s="2" t="s">
        <v>25</v>
      </c>
      <c r="B17" s="2" t="s">
        <v>26</v>
      </c>
      <c r="C17" s="2" t="s">
        <v>65</v>
      </c>
      <c r="D17" s="2" t="s">
        <v>66</v>
      </c>
      <c r="E17" s="3" t="n">
        <v>41050</v>
      </c>
      <c r="F17" s="4" t="n">
        <v>46178</v>
      </c>
      <c r="G17" s="4" t="n">
        <v>46183</v>
      </c>
      <c r="H17" s="3" t="n">
        <f aca="false">IF(G17="","",G17-F17)</f>
        <v>5</v>
      </c>
      <c r="I17" s="2" t="s">
        <v>29</v>
      </c>
      <c r="J17" s="2" t="s">
        <v>35</v>
      </c>
      <c r="K17" s="2" t="s">
        <v>43</v>
      </c>
      <c r="L17" s="2" t="s">
        <v>56</v>
      </c>
      <c r="M17" s="2" t="s">
        <v>57</v>
      </c>
      <c r="N17" s="3" t="n">
        <v>30</v>
      </c>
      <c r="O17" s="5" t="n">
        <v>42</v>
      </c>
      <c r="P17" s="5" t="n">
        <f aca="false">N17*O17</f>
        <v>1260</v>
      </c>
      <c r="Q17" s="6" t="n">
        <v>0.05</v>
      </c>
      <c r="R17" s="5" t="n">
        <f aca="false">ROUND(P17*Q17,2)</f>
        <v>63</v>
      </c>
      <c r="S17" s="5" t="n">
        <f aca="false">P17-R17</f>
        <v>1197</v>
      </c>
      <c r="T17" s="5" t="n">
        <f aca="false">ROUND(S17*Assumptions!$B$2,2)</f>
        <v>71.82</v>
      </c>
      <c r="U17" s="5" t="n">
        <f aca="false">S17+T17</f>
        <v>1268.82</v>
      </c>
      <c r="V17" s="5" t="n">
        <v>17.31</v>
      </c>
      <c r="W17" s="5" t="n">
        <f aca="false">U17+V17</f>
        <v>1286.13</v>
      </c>
      <c r="X17" s="2" t="s">
        <v>46</v>
      </c>
      <c r="Y17" s="2"/>
    </row>
    <row r="18" customFormat="false" ht="15" hidden="false" customHeight="false" outlineLevel="0" collapsed="false">
      <c r="A18" s="2" t="s">
        <v>25</v>
      </c>
      <c r="B18" s="2" t="s">
        <v>26</v>
      </c>
      <c r="C18" s="2" t="s">
        <v>65</v>
      </c>
      <c r="D18" s="2" t="s">
        <v>66</v>
      </c>
      <c r="E18" s="3" t="n">
        <v>41054</v>
      </c>
      <c r="F18" s="4" t="n">
        <v>46131</v>
      </c>
      <c r="G18" s="4" t="n">
        <v>46140</v>
      </c>
      <c r="H18" s="3" t="n">
        <f aca="false">IF(G18="","",G18-F18)</f>
        <v>9</v>
      </c>
      <c r="I18" s="2" t="s">
        <v>41</v>
      </c>
      <c r="J18" s="2" t="s">
        <v>35</v>
      </c>
      <c r="K18" s="2" t="s">
        <v>43</v>
      </c>
      <c r="L18" s="2" t="s">
        <v>56</v>
      </c>
      <c r="M18" s="2" t="s">
        <v>57</v>
      </c>
      <c r="N18" s="3" t="n">
        <v>8</v>
      </c>
      <c r="O18" s="5" t="n">
        <v>42</v>
      </c>
      <c r="P18" s="5" t="n">
        <f aca="false">N18*O18</f>
        <v>336</v>
      </c>
      <c r="Q18" s="6" t="n">
        <v>0.1</v>
      </c>
      <c r="R18" s="5" t="n">
        <f aca="false">ROUND(P18*Q18,2)</f>
        <v>33.6</v>
      </c>
      <c r="S18" s="5" t="n">
        <f aca="false">P18-R18</f>
        <v>302.4</v>
      </c>
      <c r="T18" s="5" t="n">
        <f aca="false">ROUND(S18*Assumptions!$B$2,2)</f>
        <v>18.14</v>
      </c>
      <c r="U18" s="5" t="n">
        <f aca="false">S18+T18</f>
        <v>320.54</v>
      </c>
      <c r="V18" s="5" t="n">
        <v>33.7</v>
      </c>
      <c r="W18" s="5" t="n">
        <f aca="false">U18+V18</f>
        <v>354.24</v>
      </c>
      <c r="X18" s="2" t="s">
        <v>46</v>
      </c>
      <c r="Y18" s="2"/>
    </row>
    <row r="19" customFormat="false" ht="15" hidden="false" customHeight="false" outlineLevel="0" collapsed="false">
      <c r="A19" s="2" t="s">
        <v>25</v>
      </c>
      <c r="B19" s="2" t="s">
        <v>26</v>
      </c>
      <c r="C19" s="2" t="s">
        <v>65</v>
      </c>
      <c r="D19" s="2" t="s">
        <v>70</v>
      </c>
      <c r="E19" s="3" t="n">
        <v>41057</v>
      </c>
      <c r="F19" s="4" t="n">
        <v>46198</v>
      </c>
      <c r="G19" s="4" t="n">
        <v>46200</v>
      </c>
      <c r="H19" s="3" t="n">
        <f aca="false">IF(G19="","",G19-F19)</f>
        <v>2</v>
      </c>
      <c r="I19" s="2" t="s">
        <v>41</v>
      </c>
      <c r="J19" s="2" t="s">
        <v>42</v>
      </c>
      <c r="K19" s="2" t="s">
        <v>43</v>
      </c>
      <c r="L19" s="2" t="s">
        <v>44</v>
      </c>
      <c r="M19" s="2" t="s">
        <v>45</v>
      </c>
      <c r="N19" s="3" t="n">
        <v>50</v>
      </c>
      <c r="O19" s="5" t="n">
        <v>13.4</v>
      </c>
      <c r="P19" s="5" t="n">
        <f aca="false">N19*O19</f>
        <v>670</v>
      </c>
      <c r="Q19" s="6" t="n">
        <v>0</v>
      </c>
      <c r="R19" s="5" t="n">
        <f aca="false">ROUND(P19*Q19,2)</f>
        <v>0</v>
      </c>
      <c r="S19" s="5" t="n">
        <f aca="false">P19-R19</f>
        <v>670</v>
      </c>
      <c r="T19" s="5" t="n">
        <f aca="false">ROUND(S19*Assumptions!$B$2,2)</f>
        <v>40.2</v>
      </c>
      <c r="U19" s="5" t="n">
        <f aca="false">S19+T19</f>
        <v>710.2</v>
      </c>
      <c r="V19" s="5" t="n">
        <v>14.1</v>
      </c>
      <c r="W19" s="5" t="n">
        <f aca="false">U19+V19</f>
        <v>724.3</v>
      </c>
      <c r="X19" s="2" t="s">
        <v>46</v>
      </c>
      <c r="Y19" s="2" t="s">
        <v>58</v>
      </c>
    </row>
    <row r="20" customFormat="false" ht="15" hidden="false" customHeight="false" outlineLevel="0" collapsed="false">
      <c r="A20" s="2" t="s">
        <v>25</v>
      </c>
      <c r="B20" s="2" t="s">
        <v>26</v>
      </c>
      <c r="C20" s="2" t="s">
        <v>65</v>
      </c>
      <c r="D20" s="2" t="s">
        <v>70</v>
      </c>
      <c r="E20" s="3" t="n">
        <v>41062</v>
      </c>
      <c r="F20" s="4" t="n">
        <v>46062</v>
      </c>
      <c r="G20" s="4" t="n">
        <v>46070</v>
      </c>
      <c r="H20" s="3" t="n">
        <f aca="false">IF(G20="","",G20-F20)</f>
        <v>8</v>
      </c>
      <c r="I20" s="2" t="s">
        <v>41</v>
      </c>
      <c r="J20" s="2" t="s">
        <v>30</v>
      </c>
      <c r="K20" s="2" t="s">
        <v>31</v>
      </c>
      <c r="L20" s="2" t="s">
        <v>71</v>
      </c>
      <c r="M20" s="2" t="s">
        <v>72</v>
      </c>
      <c r="N20" s="3" t="n">
        <v>25</v>
      </c>
      <c r="O20" s="5" t="n">
        <v>34.99</v>
      </c>
      <c r="P20" s="5" t="n">
        <f aca="false">N20*O20</f>
        <v>874.75</v>
      </c>
      <c r="Q20" s="6" t="n">
        <v>0.15</v>
      </c>
      <c r="R20" s="5" t="n">
        <f aca="false">ROUND(P20*Q20,2)</f>
        <v>131.21</v>
      </c>
      <c r="S20" s="5" t="n">
        <f aca="false">P20-R20</f>
        <v>743.54</v>
      </c>
      <c r="T20" s="5" t="n">
        <f aca="false">ROUND(S20*Assumptions!$B$2,2)</f>
        <v>44.61</v>
      </c>
      <c r="U20" s="5" t="n">
        <f aca="false">S20+T20</f>
        <v>788.15</v>
      </c>
      <c r="V20" s="5" t="n">
        <v>39.64</v>
      </c>
      <c r="W20" s="5" t="n">
        <f aca="false">U20+V20</f>
        <v>827.79</v>
      </c>
      <c r="X20" s="2" t="s">
        <v>34</v>
      </c>
      <c r="Y20" s="2"/>
    </row>
    <row r="21" customFormat="false" ht="15" hidden="false" customHeight="false" outlineLevel="0" collapsed="false">
      <c r="A21" s="2" t="s">
        <v>25</v>
      </c>
      <c r="B21" s="2" t="s">
        <v>26</v>
      </c>
      <c r="C21" s="2" t="s">
        <v>65</v>
      </c>
      <c r="D21" s="2" t="s">
        <v>70</v>
      </c>
      <c r="E21" s="3" t="n">
        <v>41063</v>
      </c>
      <c r="F21" s="4" t="n">
        <v>46189</v>
      </c>
      <c r="G21" s="4"/>
      <c r="H21" s="3" t="str">
        <f aca="false">IF(G21="","",G21-F21)</f>
        <v/>
      </c>
      <c r="I21" s="2" t="s">
        <v>41</v>
      </c>
      <c r="J21" s="2" t="s">
        <v>42</v>
      </c>
      <c r="K21" s="2" t="s">
        <v>31</v>
      </c>
      <c r="L21" s="2" t="s">
        <v>32</v>
      </c>
      <c r="M21" s="2" t="s">
        <v>33</v>
      </c>
      <c r="N21" s="3" t="n">
        <v>6</v>
      </c>
      <c r="O21" s="5" t="n">
        <v>14.25</v>
      </c>
      <c r="P21" s="5" t="n">
        <f aca="false">N21*O21</f>
        <v>85.5</v>
      </c>
      <c r="Q21" s="6" t="n">
        <v>0.15</v>
      </c>
      <c r="R21" s="5" t="n">
        <f aca="false">ROUND(P21*Q21,2)</f>
        <v>12.83</v>
      </c>
      <c r="S21" s="5" t="n">
        <f aca="false">P21-R21</f>
        <v>72.67</v>
      </c>
      <c r="T21" s="5" t="n">
        <f aca="false">ROUND(S21*Assumptions!$B$2,2)</f>
        <v>4.36</v>
      </c>
      <c r="U21" s="5" t="n">
        <f aca="false">S21+T21</f>
        <v>77.03</v>
      </c>
      <c r="V21" s="5" t="n">
        <v>11.61</v>
      </c>
      <c r="W21" s="5" t="n">
        <f aca="false">U21+V21</f>
        <v>88.64</v>
      </c>
      <c r="X21" s="2" t="s">
        <v>39</v>
      </c>
      <c r="Y21" s="2" t="s">
        <v>52</v>
      </c>
    </row>
    <row r="22" customFormat="false" ht="15" hidden="false" customHeight="false" outlineLevel="0" collapsed="false">
      <c r="A22" s="2" t="s">
        <v>25</v>
      </c>
      <c r="B22" s="2" t="s">
        <v>26</v>
      </c>
      <c r="C22" s="2" t="s">
        <v>65</v>
      </c>
      <c r="D22" s="2" t="s">
        <v>70</v>
      </c>
      <c r="E22" s="3" t="n">
        <v>41064</v>
      </c>
      <c r="F22" s="4" t="n">
        <v>46259</v>
      </c>
      <c r="G22" s="4" t="n">
        <v>46262</v>
      </c>
      <c r="H22" s="3" t="n">
        <f aca="false">IF(G22="","",G22-F22)</f>
        <v>3</v>
      </c>
      <c r="I22" s="2" t="s">
        <v>29</v>
      </c>
      <c r="J22" s="2" t="s">
        <v>42</v>
      </c>
      <c r="K22" s="2" t="s">
        <v>31</v>
      </c>
      <c r="L22" s="2" t="s">
        <v>71</v>
      </c>
      <c r="M22" s="2" t="s">
        <v>72</v>
      </c>
      <c r="N22" s="3" t="n">
        <v>5</v>
      </c>
      <c r="O22" s="5" t="n">
        <v>34.99</v>
      </c>
      <c r="P22" s="5" t="n">
        <f aca="false">N22*O22</f>
        <v>174.95</v>
      </c>
      <c r="Q22" s="6" t="n">
        <v>0</v>
      </c>
      <c r="R22" s="5" t="n">
        <f aca="false">ROUND(P22*Q22,2)</f>
        <v>0</v>
      </c>
      <c r="S22" s="5" t="n">
        <f aca="false">P22-R22</f>
        <v>174.95</v>
      </c>
      <c r="T22" s="5" t="n">
        <f aca="false">ROUND(S22*Assumptions!$B$2,2)</f>
        <v>10.5</v>
      </c>
      <c r="U22" s="5" t="n">
        <f aca="false">S22+T22</f>
        <v>185.45</v>
      </c>
      <c r="V22" s="5" t="n">
        <v>15.99</v>
      </c>
      <c r="W22" s="5" t="n">
        <f aca="false">U22+V22</f>
        <v>201.44</v>
      </c>
      <c r="X22" s="2" t="s">
        <v>46</v>
      </c>
      <c r="Y22" s="2" t="s">
        <v>73</v>
      </c>
    </row>
    <row r="23" customFormat="false" ht="15" hidden="false" customHeight="false" outlineLevel="0" collapsed="false">
      <c r="A23" s="2" t="s">
        <v>25</v>
      </c>
      <c r="B23" s="2" t="s">
        <v>26</v>
      </c>
      <c r="C23" s="2" t="s">
        <v>65</v>
      </c>
      <c r="D23" s="2" t="s">
        <v>74</v>
      </c>
      <c r="E23" s="3" t="n">
        <v>41069</v>
      </c>
      <c r="F23" s="4" t="n">
        <v>46230</v>
      </c>
      <c r="G23" s="4" t="n">
        <v>46233</v>
      </c>
      <c r="H23" s="3" t="n">
        <f aca="false">IF(G23="","",G23-F23)</f>
        <v>3</v>
      </c>
      <c r="I23" s="2" t="s">
        <v>29</v>
      </c>
      <c r="J23" s="2" t="s">
        <v>35</v>
      </c>
      <c r="K23" s="2" t="s">
        <v>59</v>
      </c>
      <c r="L23" s="2" t="s">
        <v>75</v>
      </c>
      <c r="M23" s="2" t="s">
        <v>76</v>
      </c>
      <c r="N23" s="3" t="n">
        <v>24</v>
      </c>
      <c r="O23" s="5" t="n">
        <v>129</v>
      </c>
      <c r="P23" s="5" t="n">
        <f aca="false">N23*O23</f>
        <v>3096</v>
      </c>
      <c r="Q23" s="6" t="n">
        <v>0.05</v>
      </c>
      <c r="R23" s="5" t="n">
        <f aca="false">ROUND(P23*Q23,2)</f>
        <v>154.8</v>
      </c>
      <c r="S23" s="5" t="n">
        <f aca="false">P23-R23</f>
        <v>2941.2</v>
      </c>
      <c r="T23" s="5" t="n">
        <f aca="false">ROUND(S23*Assumptions!$B$2,2)</f>
        <v>176.47</v>
      </c>
      <c r="U23" s="5" t="n">
        <f aca="false">S23+T23</f>
        <v>3117.67</v>
      </c>
      <c r="V23" s="5" t="n">
        <v>0.59</v>
      </c>
      <c r="W23" s="5" t="n">
        <f aca="false">U23+V23</f>
        <v>3118.26</v>
      </c>
      <c r="X23" s="2" t="s">
        <v>46</v>
      </c>
      <c r="Y23" s="2"/>
    </row>
    <row r="24" customFormat="false" ht="15" hidden="false" customHeight="false" outlineLevel="0" collapsed="false">
      <c r="A24" s="2" t="s">
        <v>25</v>
      </c>
      <c r="B24" s="2" t="s">
        <v>26</v>
      </c>
      <c r="C24" s="2" t="s">
        <v>65</v>
      </c>
      <c r="D24" s="2" t="s">
        <v>74</v>
      </c>
      <c r="E24" s="3" t="n">
        <v>41073</v>
      </c>
      <c r="F24" s="4" t="n">
        <v>46128</v>
      </c>
      <c r="G24" s="4" t="n">
        <v>46132</v>
      </c>
      <c r="H24" s="3" t="n">
        <f aca="false">IF(G24="","",G24-F24)</f>
        <v>4</v>
      </c>
      <c r="I24" s="2" t="s">
        <v>41</v>
      </c>
      <c r="J24" s="2" t="s">
        <v>42</v>
      </c>
      <c r="K24" s="2" t="s">
        <v>48</v>
      </c>
      <c r="L24" s="2" t="s">
        <v>77</v>
      </c>
      <c r="M24" s="2" t="s">
        <v>78</v>
      </c>
      <c r="N24" s="3" t="n">
        <v>15</v>
      </c>
      <c r="O24" s="5" t="n">
        <v>18.4</v>
      </c>
      <c r="P24" s="5" t="n">
        <f aca="false">N24*O24</f>
        <v>276</v>
      </c>
      <c r="Q24" s="6" t="n">
        <v>0.1</v>
      </c>
      <c r="R24" s="5" t="n">
        <f aca="false">ROUND(P24*Q24,2)</f>
        <v>27.6</v>
      </c>
      <c r="S24" s="5" t="n">
        <f aca="false">P24-R24</f>
        <v>248.4</v>
      </c>
      <c r="T24" s="5" t="n">
        <f aca="false">ROUND(S24*Assumptions!$B$2,2)</f>
        <v>14.9</v>
      </c>
      <c r="U24" s="5" t="n">
        <f aca="false">S24+T24</f>
        <v>263.3</v>
      </c>
      <c r="V24" s="5" t="n">
        <v>20.86</v>
      </c>
      <c r="W24" s="5" t="n">
        <f aca="false">U24+V24</f>
        <v>284.16</v>
      </c>
      <c r="X24" s="2" t="s">
        <v>34</v>
      </c>
      <c r="Y24" s="2"/>
    </row>
    <row r="25" customFormat="false" ht="15" hidden="false" customHeight="false" outlineLevel="0" collapsed="false">
      <c r="A25" s="2" t="s">
        <v>25</v>
      </c>
      <c r="B25" s="2" t="s">
        <v>26</v>
      </c>
      <c r="C25" s="2" t="s">
        <v>65</v>
      </c>
      <c r="D25" s="2" t="s">
        <v>74</v>
      </c>
      <c r="E25" s="3" t="n">
        <v>41078</v>
      </c>
      <c r="F25" s="4" t="n">
        <v>46160</v>
      </c>
      <c r="G25" s="4"/>
      <c r="H25" s="3" t="str">
        <f aca="false">IF(G25="","",G25-F25)</f>
        <v/>
      </c>
      <c r="I25" s="2" t="s">
        <v>41</v>
      </c>
      <c r="J25" s="2" t="s">
        <v>35</v>
      </c>
      <c r="K25" s="2" t="s">
        <v>31</v>
      </c>
      <c r="L25" s="2" t="s">
        <v>32</v>
      </c>
      <c r="M25" s="2" t="s">
        <v>33</v>
      </c>
      <c r="N25" s="3" t="n">
        <v>15</v>
      </c>
      <c r="O25" s="5" t="n">
        <v>14.25</v>
      </c>
      <c r="P25" s="5" t="n">
        <f aca="false">N25*O25</f>
        <v>213.75</v>
      </c>
      <c r="Q25" s="6" t="n">
        <v>0</v>
      </c>
      <c r="R25" s="5" t="n">
        <f aca="false">ROUND(P25*Q25,2)</f>
        <v>0</v>
      </c>
      <c r="S25" s="5" t="n">
        <f aca="false">P25-R25</f>
        <v>213.75</v>
      </c>
      <c r="T25" s="5" t="n">
        <f aca="false">ROUND(S25*Assumptions!$B$2,2)</f>
        <v>12.83</v>
      </c>
      <c r="U25" s="5" t="n">
        <f aca="false">S25+T25</f>
        <v>226.58</v>
      </c>
      <c r="V25" s="5" t="n">
        <v>19.31</v>
      </c>
      <c r="W25" s="5" t="n">
        <f aca="false">U25+V25</f>
        <v>245.89</v>
      </c>
      <c r="X25" s="2" t="s">
        <v>39</v>
      </c>
      <c r="Y25" s="2" t="s">
        <v>73</v>
      </c>
    </row>
    <row r="26" customFormat="false" ht="15" hidden="false" customHeight="false" outlineLevel="0" collapsed="false">
      <c r="A26" s="2" t="s">
        <v>25</v>
      </c>
      <c r="B26" s="2" t="s">
        <v>79</v>
      </c>
      <c r="C26" s="2" t="s">
        <v>80</v>
      </c>
      <c r="D26" s="2" t="s">
        <v>81</v>
      </c>
      <c r="E26" s="3" t="n">
        <v>41085</v>
      </c>
      <c r="F26" s="4" t="n">
        <v>46220</v>
      </c>
      <c r="G26" s="4"/>
      <c r="H26" s="3" t="str">
        <f aca="false">IF(G26="","",G26-F26)</f>
        <v/>
      </c>
      <c r="I26" s="2" t="s">
        <v>41</v>
      </c>
      <c r="J26" s="2" t="s">
        <v>30</v>
      </c>
      <c r="K26" s="2" t="s">
        <v>43</v>
      </c>
      <c r="L26" s="2" t="s">
        <v>56</v>
      </c>
      <c r="M26" s="2" t="s">
        <v>57</v>
      </c>
      <c r="N26" s="3" t="n">
        <v>20</v>
      </c>
      <c r="O26" s="5" t="n">
        <v>42</v>
      </c>
      <c r="P26" s="5" t="n">
        <f aca="false">N26*O26</f>
        <v>840</v>
      </c>
      <c r="Q26" s="6" t="n">
        <v>0.15</v>
      </c>
      <c r="R26" s="5" t="n">
        <f aca="false">ROUND(P26*Q26,2)</f>
        <v>126</v>
      </c>
      <c r="S26" s="5" t="n">
        <f aca="false">P26-R26</f>
        <v>714</v>
      </c>
      <c r="T26" s="5" t="n">
        <f aca="false">ROUND(S26*Assumptions!$B$2,2)</f>
        <v>42.84</v>
      </c>
      <c r="U26" s="5" t="n">
        <f aca="false">S26+T26</f>
        <v>756.84</v>
      </c>
      <c r="V26" s="5" t="n">
        <v>0</v>
      </c>
      <c r="W26" s="5" t="n">
        <f aca="false">U26+V26</f>
        <v>756.84</v>
      </c>
      <c r="X26" s="2" t="s">
        <v>51</v>
      </c>
      <c r="Y26" s="2"/>
    </row>
    <row r="27" customFormat="false" ht="15" hidden="false" customHeight="false" outlineLevel="0" collapsed="false">
      <c r="A27" s="2" t="s">
        <v>25</v>
      </c>
      <c r="B27" s="2" t="s">
        <v>79</v>
      </c>
      <c r="C27" s="2" t="s">
        <v>80</v>
      </c>
      <c r="D27" s="2" t="s">
        <v>81</v>
      </c>
      <c r="E27" s="3" t="n">
        <v>41088</v>
      </c>
      <c r="F27" s="4" t="n">
        <v>46099</v>
      </c>
      <c r="G27" s="4"/>
      <c r="H27" s="3" t="str">
        <f aca="false">IF(G27="","",G27-F27)</f>
        <v/>
      </c>
      <c r="I27" s="2" t="s">
        <v>41</v>
      </c>
      <c r="J27" s="2" t="s">
        <v>42</v>
      </c>
      <c r="K27" s="2" t="s">
        <v>59</v>
      </c>
      <c r="L27" s="2" t="s">
        <v>82</v>
      </c>
      <c r="M27" s="2" t="s">
        <v>83</v>
      </c>
      <c r="N27" s="3" t="n">
        <v>50</v>
      </c>
      <c r="O27" s="5" t="n">
        <v>99</v>
      </c>
      <c r="P27" s="5" t="n">
        <f aca="false">N27*O27</f>
        <v>4950</v>
      </c>
      <c r="Q27" s="6" t="n">
        <v>0</v>
      </c>
      <c r="R27" s="5" t="n">
        <f aca="false">ROUND(P27*Q27,2)</f>
        <v>0</v>
      </c>
      <c r="S27" s="5" t="n">
        <f aca="false">P27-R27</f>
        <v>4950</v>
      </c>
      <c r="T27" s="5" t="n">
        <f aca="false">ROUND(S27*Assumptions!$B$2,2)</f>
        <v>297</v>
      </c>
      <c r="U27" s="5" t="n">
        <f aca="false">S27+T27</f>
        <v>5247</v>
      </c>
      <c r="V27" s="5" t="n">
        <v>0</v>
      </c>
      <c r="W27" s="5" t="n">
        <f aca="false">U27+V27</f>
        <v>5247</v>
      </c>
      <c r="X27" s="2" t="s">
        <v>51</v>
      </c>
      <c r="Y27" s="2"/>
    </row>
    <row r="28" customFormat="false" ht="15" hidden="false" customHeight="false" outlineLevel="0" collapsed="false">
      <c r="A28" s="2" t="s">
        <v>25</v>
      </c>
      <c r="B28" s="2" t="s">
        <v>79</v>
      </c>
      <c r="C28" s="2" t="s">
        <v>80</v>
      </c>
      <c r="D28" s="2" t="s">
        <v>81</v>
      </c>
      <c r="E28" s="3" t="n">
        <v>41093</v>
      </c>
      <c r="F28" s="4" t="n">
        <v>46100</v>
      </c>
      <c r="G28" s="4"/>
      <c r="H28" s="3" t="str">
        <f aca="false">IF(G28="","",G28-F28)</f>
        <v/>
      </c>
      <c r="I28" s="2" t="s">
        <v>41</v>
      </c>
      <c r="J28" s="2" t="s">
        <v>30</v>
      </c>
      <c r="K28" s="2" t="s">
        <v>31</v>
      </c>
      <c r="L28" s="2" t="s">
        <v>62</v>
      </c>
      <c r="M28" s="2" t="s">
        <v>63</v>
      </c>
      <c r="N28" s="3" t="n">
        <v>50</v>
      </c>
      <c r="O28" s="5" t="n">
        <v>19.5</v>
      </c>
      <c r="P28" s="5" t="n">
        <f aca="false">N28*O28</f>
        <v>975</v>
      </c>
      <c r="Q28" s="6" t="n">
        <v>0</v>
      </c>
      <c r="R28" s="5" t="n">
        <f aca="false">ROUND(P28*Q28,2)</f>
        <v>0</v>
      </c>
      <c r="S28" s="5" t="n">
        <f aca="false">P28-R28</f>
        <v>975</v>
      </c>
      <c r="T28" s="5" t="n">
        <f aca="false">ROUND(S28*Assumptions!$B$2,2)</f>
        <v>58.5</v>
      </c>
      <c r="U28" s="5" t="n">
        <f aca="false">S28+T28</f>
        <v>1033.5</v>
      </c>
      <c r="V28" s="5" t="n">
        <v>0</v>
      </c>
      <c r="W28" s="5" t="n">
        <f aca="false">U28+V28</f>
        <v>1033.5</v>
      </c>
      <c r="X28" s="2" t="s">
        <v>51</v>
      </c>
      <c r="Y28" s="2" t="s">
        <v>64</v>
      </c>
    </row>
    <row r="29" customFormat="false" ht="15" hidden="false" customHeight="false" outlineLevel="0" collapsed="false">
      <c r="A29" s="2" t="s">
        <v>25</v>
      </c>
      <c r="B29" s="2" t="s">
        <v>79</v>
      </c>
      <c r="C29" s="2" t="s">
        <v>80</v>
      </c>
      <c r="D29" s="2" t="s">
        <v>81</v>
      </c>
      <c r="E29" s="3" t="n">
        <v>41098</v>
      </c>
      <c r="F29" s="4" t="n">
        <v>46032</v>
      </c>
      <c r="G29" s="4" t="n">
        <v>46036</v>
      </c>
      <c r="H29" s="3" t="n">
        <f aca="false">IF(G29="","",G29-F29)</f>
        <v>4</v>
      </c>
      <c r="I29" s="2" t="s">
        <v>29</v>
      </c>
      <c r="J29" s="2" t="s">
        <v>30</v>
      </c>
      <c r="K29" s="2" t="s">
        <v>31</v>
      </c>
      <c r="L29" s="2" t="s">
        <v>62</v>
      </c>
      <c r="M29" s="2" t="s">
        <v>63</v>
      </c>
      <c r="N29" s="3" t="n">
        <v>8</v>
      </c>
      <c r="O29" s="5" t="n">
        <v>19.5</v>
      </c>
      <c r="P29" s="5" t="n">
        <f aca="false">N29*O29</f>
        <v>156</v>
      </c>
      <c r="Q29" s="6" t="n">
        <v>0.05</v>
      </c>
      <c r="R29" s="5" t="n">
        <f aca="false">ROUND(P29*Q29,2)</f>
        <v>7.8</v>
      </c>
      <c r="S29" s="5" t="n">
        <f aca="false">P29-R29</f>
        <v>148.2</v>
      </c>
      <c r="T29" s="5" t="n">
        <f aca="false">ROUND(S29*Assumptions!$B$2,2)</f>
        <v>8.89</v>
      </c>
      <c r="U29" s="5" t="n">
        <f aca="false">S29+T29</f>
        <v>157.09</v>
      </c>
      <c r="V29" s="5" t="n">
        <v>43.29</v>
      </c>
      <c r="W29" s="5" t="n">
        <f aca="false">U29+V29</f>
        <v>200.38</v>
      </c>
      <c r="X29" s="2" t="s">
        <v>46</v>
      </c>
      <c r="Y29" s="2" t="s">
        <v>84</v>
      </c>
    </row>
    <row r="30" customFormat="false" ht="15" hidden="false" customHeight="false" outlineLevel="0" collapsed="false">
      <c r="A30" s="2" t="s">
        <v>25</v>
      </c>
      <c r="B30" s="2" t="s">
        <v>79</v>
      </c>
      <c r="C30" s="2" t="s">
        <v>80</v>
      </c>
      <c r="D30" s="2" t="s">
        <v>85</v>
      </c>
      <c r="E30" s="3" t="n">
        <v>41099</v>
      </c>
      <c r="F30" s="4" t="n">
        <v>46162</v>
      </c>
      <c r="G30" s="4" t="n">
        <v>46170</v>
      </c>
      <c r="H30" s="3" t="n">
        <f aca="false">IF(G30="","",G30-F30)</f>
        <v>8</v>
      </c>
      <c r="I30" s="2" t="s">
        <v>29</v>
      </c>
      <c r="J30" s="2" t="s">
        <v>30</v>
      </c>
      <c r="K30" s="2" t="s">
        <v>59</v>
      </c>
      <c r="L30" s="2" t="s">
        <v>60</v>
      </c>
      <c r="M30" s="2" t="s">
        <v>61</v>
      </c>
      <c r="N30" s="3" t="n">
        <v>3</v>
      </c>
      <c r="O30" s="5" t="n">
        <v>64.5</v>
      </c>
      <c r="P30" s="5" t="n">
        <f aca="false">N30*O30</f>
        <v>193.5</v>
      </c>
      <c r="Q30" s="6" t="n">
        <v>0.15</v>
      </c>
      <c r="R30" s="5" t="n">
        <f aca="false">ROUND(P30*Q30,2)</f>
        <v>29.03</v>
      </c>
      <c r="S30" s="5" t="n">
        <f aca="false">P30-R30</f>
        <v>164.47</v>
      </c>
      <c r="T30" s="5" t="n">
        <f aca="false">ROUND(S30*Assumptions!$B$2,2)</f>
        <v>9.87</v>
      </c>
      <c r="U30" s="5" t="n">
        <f aca="false">S30+T30</f>
        <v>174.34</v>
      </c>
      <c r="V30" s="5" t="n">
        <v>25.53</v>
      </c>
      <c r="W30" s="5" t="n">
        <f aca="false">U30+V30</f>
        <v>199.87</v>
      </c>
      <c r="X30" s="2" t="s">
        <v>34</v>
      </c>
      <c r="Y30" s="2" t="s">
        <v>58</v>
      </c>
    </row>
    <row r="31" customFormat="false" ht="15" hidden="false" customHeight="false" outlineLevel="0" collapsed="false">
      <c r="A31" s="2" t="s">
        <v>25</v>
      </c>
      <c r="B31" s="2" t="s">
        <v>79</v>
      </c>
      <c r="C31" s="2" t="s">
        <v>80</v>
      </c>
      <c r="D31" s="2" t="s">
        <v>85</v>
      </c>
      <c r="E31" s="3" t="n">
        <v>41101</v>
      </c>
      <c r="F31" s="4" t="n">
        <v>46129</v>
      </c>
      <c r="G31" s="4" t="n">
        <v>46131</v>
      </c>
      <c r="H31" s="3" t="n">
        <f aca="false">IF(G31="","",G31-F31)</f>
        <v>2</v>
      </c>
      <c r="I31" s="2" t="s">
        <v>41</v>
      </c>
      <c r="J31" s="2" t="s">
        <v>30</v>
      </c>
      <c r="K31" s="2" t="s">
        <v>48</v>
      </c>
      <c r="L31" s="2" t="s">
        <v>54</v>
      </c>
      <c r="M31" s="2" t="s">
        <v>55</v>
      </c>
      <c r="N31" s="3" t="n">
        <v>12</v>
      </c>
      <c r="O31" s="5" t="n">
        <v>22.75</v>
      </c>
      <c r="P31" s="5" t="n">
        <f aca="false">N31*O31</f>
        <v>273</v>
      </c>
      <c r="Q31" s="6" t="n">
        <v>0</v>
      </c>
      <c r="R31" s="5" t="n">
        <f aca="false">ROUND(P31*Q31,2)</f>
        <v>0</v>
      </c>
      <c r="S31" s="5" t="n">
        <f aca="false">P31-R31</f>
        <v>273</v>
      </c>
      <c r="T31" s="5" t="n">
        <f aca="false">ROUND(S31*Assumptions!$B$2,2)</f>
        <v>16.38</v>
      </c>
      <c r="U31" s="5" t="n">
        <f aca="false">S31+T31</f>
        <v>289.38</v>
      </c>
      <c r="V31" s="5" t="n">
        <v>15.95</v>
      </c>
      <c r="W31" s="5" t="n">
        <f aca="false">U31+V31</f>
        <v>305.33</v>
      </c>
      <c r="X31" s="2" t="s">
        <v>46</v>
      </c>
      <c r="Y31" s="2"/>
    </row>
    <row r="32" customFormat="false" ht="15" hidden="false" customHeight="false" outlineLevel="0" collapsed="false">
      <c r="A32" s="2" t="s">
        <v>25</v>
      </c>
      <c r="B32" s="2" t="s">
        <v>79</v>
      </c>
      <c r="C32" s="2" t="s">
        <v>80</v>
      </c>
      <c r="D32" s="2" t="s">
        <v>85</v>
      </c>
      <c r="E32" s="3" t="n">
        <v>41105</v>
      </c>
      <c r="F32" s="4" t="n">
        <v>46208</v>
      </c>
      <c r="G32" s="4" t="n">
        <v>46215</v>
      </c>
      <c r="H32" s="3" t="n">
        <f aca="false">IF(G32="","",G32-F32)</f>
        <v>7</v>
      </c>
      <c r="I32" s="2" t="s">
        <v>41</v>
      </c>
      <c r="J32" s="2" t="s">
        <v>30</v>
      </c>
      <c r="K32" s="2" t="s">
        <v>43</v>
      </c>
      <c r="L32" s="2" t="s">
        <v>56</v>
      </c>
      <c r="M32" s="2" t="s">
        <v>57</v>
      </c>
      <c r="N32" s="3" t="n">
        <v>24</v>
      </c>
      <c r="O32" s="5" t="n">
        <v>42</v>
      </c>
      <c r="P32" s="5" t="n">
        <f aca="false">N32*O32</f>
        <v>1008</v>
      </c>
      <c r="Q32" s="6" t="n">
        <v>0</v>
      </c>
      <c r="R32" s="5" t="n">
        <f aca="false">ROUND(P32*Q32,2)</f>
        <v>0</v>
      </c>
      <c r="S32" s="5" t="n">
        <f aca="false">P32-R32</f>
        <v>1008</v>
      </c>
      <c r="T32" s="5" t="n">
        <f aca="false">ROUND(S32*Assumptions!$B$2,2)</f>
        <v>60.48</v>
      </c>
      <c r="U32" s="5" t="n">
        <f aca="false">S32+T32</f>
        <v>1068.48</v>
      </c>
      <c r="V32" s="5" t="n">
        <v>1.03</v>
      </c>
      <c r="W32" s="5" t="n">
        <f aca="false">U32+V32</f>
        <v>1069.51</v>
      </c>
      <c r="X32" s="2" t="s">
        <v>46</v>
      </c>
      <c r="Y32" s="2" t="s">
        <v>52</v>
      </c>
    </row>
    <row r="33" customFormat="false" ht="15" hidden="false" customHeight="false" outlineLevel="0" collapsed="false">
      <c r="A33" s="2" t="s">
        <v>25</v>
      </c>
      <c r="B33" s="2" t="s">
        <v>79</v>
      </c>
      <c r="C33" s="2" t="s">
        <v>80</v>
      </c>
      <c r="D33" s="2" t="s">
        <v>85</v>
      </c>
      <c r="E33" s="3" t="n">
        <v>41112</v>
      </c>
      <c r="F33" s="4" t="n">
        <v>46210</v>
      </c>
      <c r="G33" s="4"/>
      <c r="H33" s="3" t="str">
        <f aca="false">IF(G33="","",G33-F33)</f>
        <v/>
      </c>
      <c r="I33" s="2" t="s">
        <v>41</v>
      </c>
      <c r="J33" s="2" t="s">
        <v>42</v>
      </c>
      <c r="K33" s="2" t="s">
        <v>59</v>
      </c>
      <c r="L33" s="2" t="s">
        <v>60</v>
      </c>
      <c r="M33" s="2" t="s">
        <v>61</v>
      </c>
      <c r="N33" s="3" t="n">
        <v>12</v>
      </c>
      <c r="O33" s="5" t="n">
        <v>64.5</v>
      </c>
      <c r="P33" s="5" t="n">
        <f aca="false">N33*O33</f>
        <v>774</v>
      </c>
      <c r="Q33" s="6" t="n">
        <v>0.05</v>
      </c>
      <c r="R33" s="5" t="n">
        <f aca="false">ROUND(P33*Q33,2)</f>
        <v>38.7</v>
      </c>
      <c r="S33" s="5" t="n">
        <f aca="false">P33-R33</f>
        <v>735.3</v>
      </c>
      <c r="T33" s="5" t="n">
        <f aca="false">ROUND(S33*Assumptions!$B$2,2)</f>
        <v>44.12</v>
      </c>
      <c r="U33" s="5" t="n">
        <f aca="false">S33+T33</f>
        <v>779.42</v>
      </c>
      <c r="V33" s="5" t="n">
        <v>40.94</v>
      </c>
      <c r="W33" s="5" t="n">
        <f aca="false">U33+V33</f>
        <v>820.36</v>
      </c>
      <c r="X33" s="2" t="s">
        <v>39</v>
      </c>
      <c r="Y33" s="2"/>
    </row>
    <row r="34" customFormat="false" ht="15" hidden="false" customHeight="false" outlineLevel="0" collapsed="false">
      <c r="A34" s="2" t="s">
        <v>25</v>
      </c>
      <c r="B34" s="2" t="s">
        <v>79</v>
      </c>
      <c r="C34" s="2" t="s">
        <v>80</v>
      </c>
      <c r="D34" s="2" t="s">
        <v>85</v>
      </c>
      <c r="E34" s="3" t="n">
        <v>41115</v>
      </c>
      <c r="F34" s="4" t="n">
        <v>46261</v>
      </c>
      <c r="G34" s="4" t="n">
        <v>46263</v>
      </c>
      <c r="H34" s="3" t="n">
        <f aca="false">IF(G34="","",G34-F34)</f>
        <v>2</v>
      </c>
      <c r="I34" s="2" t="s">
        <v>29</v>
      </c>
      <c r="J34" s="2" t="s">
        <v>42</v>
      </c>
      <c r="K34" s="2" t="s">
        <v>48</v>
      </c>
      <c r="L34" s="2" t="s">
        <v>54</v>
      </c>
      <c r="M34" s="2" t="s">
        <v>55</v>
      </c>
      <c r="N34" s="3" t="n">
        <v>24</v>
      </c>
      <c r="O34" s="5" t="n">
        <v>22.75</v>
      </c>
      <c r="P34" s="5" t="n">
        <f aca="false">N34*O34</f>
        <v>546</v>
      </c>
      <c r="Q34" s="6" t="n">
        <v>0</v>
      </c>
      <c r="R34" s="5" t="n">
        <f aca="false">ROUND(P34*Q34,2)</f>
        <v>0</v>
      </c>
      <c r="S34" s="5" t="n">
        <f aca="false">P34-R34</f>
        <v>546</v>
      </c>
      <c r="T34" s="5" t="n">
        <f aca="false">ROUND(S34*Assumptions!$B$2,2)</f>
        <v>32.76</v>
      </c>
      <c r="U34" s="5" t="n">
        <f aca="false">S34+T34</f>
        <v>578.76</v>
      </c>
      <c r="V34" s="5" t="n">
        <v>42.07</v>
      </c>
      <c r="W34" s="5" t="n">
        <f aca="false">U34+V34</f>
        <v>620.83</v>
      </c>
      <c r="X34" s="2" t="s">
        <v>46</v>
      </c>
      <c r="Y34" s="2" t="s">
        <v>84</v>
      </c>
    </row>
    <row r="35" customFormat="false" ht="15" hidden="false" customHeight="false" outlineLevel="0" collapsed="false">
      <c r="A35" s="2" t="s">
        <v>25</v>
      </c>
      <c r="B35" s="2" t="s">
        <v>79</v>
      </c>
      <c r="C35" s="2" t="s">
        <v>80</v>
      </c>
      <c r="D35" s="2" t="s">
        <v>85</v>
      </c>
      <c r="E35" s="3" t="n">
        <v>41122</v>
      </c>
      <c r="F35" s="4" t="n">
        <v>46118</v>
      </c>
      <c r="G35" s="4" t="n">
        <v>46120</v>
      </c>
      <c r="H35" s="3" t="n">
        <f aca="false">IF(G35="","",G35-F35)</f>
        <v>2</v>
      </c>
      <c r="I35" s="2" t="s">
        <v>29</v>
      </c>
      <c r="J35" s="2" t="s">
        <v>30</v>
      </c>
      <c r="K35" s="2" t="s">
        <v>36</v>
      </c>
      <c r="L35" s="2" t="s">
        <v>86</v>
      </c>
      <c r="M35" s="2" t="s">
        <v>87</v>
      </c>
      <c r="N35" s="3" t="n">
        <v>12</v>
      </c>
      <c r="O35" s="5" t="n">
        <v>21.95</v>
      </c>
      <c r="P35" s="5" t="n">
        <f aca="false">N35*O35</f>
        <v>263.4</v>
      </c>
      <c r="Q35" s="6" t="n">
        <v>0.05</v>
      </c>
      <c r="R35" s="5" t="n">
        <f aca="false">ROUND(P35*Q35,2)</f>
        <v>13.17</v>
      </c>
      <c r="S35" s="5" t="n">
        <f aca="false">P35-R35</f>
        <v>250.23</v>
      </c>
      <c r="T35" s="5" t="n">
        <f aca="false">ROUND(S35*Assumptions!$B$2,2)</f>
        <v>15.01</v>
      </c>
      <c r="U35" s="5" t="n">
        <f aca="false">S35+T35</f>
        <v>265.24</v>
      </c>
      <c r="V35" s="5" t="n">
        <v>34.42</v>
      </c>
      <c r="W35" s="5" t="n">
        <f aca="false">U35+V35</f>
        <v>299.66</v>
      </c>
      <c r="X35" s="2" t="s">
        <v>46</v>
      </c>
      <c r="Y35" s="2" t="s">
        <v>73</v>
      </c>
    </row>
    <row r="36" customFormat="false" ht="15" hidden="false" customHeight="false" outlineLevel="0" collapsed="false">
      <c r="A36" s="2" t="s">
        <v>25</v>
      </c>
      <c r="B36" s="2" t="s">
        <v>79</v>
      </c>
      <c r="C36" s="2" t="s">
        <v>80</v>
      </c>
      <c r="D36" s="2" t="s">
        <v>88</v>
      </c>
      <c r="E36" s="3" t="n">
        <v>41123</v>
      </c>
      <c r="F36" s="4" t="n">
        <v>46037</v>
      </c>
      <c r="G36" s="4" t="n">
        <v>46041</v>
      </c>
      <c r="H36" s="3" t="n">
        <f aca="false">IF(G36="","",G36-F36)</f>
        <v>4</v>
      </c>
      <c r="I36" s="2" t="s">
        <v>29</v>
      </c>
      <c r="J36" s="2" t="s">
        <v>30</v>
      </c>
      <c r="K36" s="2" t="s">
        <v>48</v>
      </c>
      <c r="L36" s="2" t="s">
        <v>49</v>
      </c>
      <c r="M36" s="2" t="s">
        <v>50</v>
      </c>
      <c r="N36" s="3" t="n">
        <v>25</v>
      </c>
      <c r="O36" s="5" t="n">
        <v>31.9</v>
      </c>
      <c r="P36" s="5" t="n">
        <f aca="false">N36*O36</f>
        <v>797.5</v>
      </c>
      <c r="Q36" s="6" t="n">
        <v>0</v>
      </c>
      <c r="R36" s="5" t="n">
        <f aca="false">ROUND(P36*Q36,2)</f>
        <v>0</v>
      </c>
      <c r="S36" s="5" t="n">
        <f aca="false">P36-R36</f>
        <v>797.5</v>
      </c>
      <c r="T36" s="5" t="n">
        <f aca="false">ROUND(S36*Assumptions!$B$2,2)</f>
        <v>47.85</v>
      </c>
      <c r="U36" s="5" t="n">
        <f aca="false">S36+T36</f>
        <v>845.35</v>
      </c>
      <c r="V36" s="5" t="n">
        <v>9.93</v>
      </c>
      <c r="W36" s="5" t="n">
        <f aca="false">U36+V36</f>
        <v>855.28</v>
      </c>
      <c r="X36" s="2" t="s">
        <v>46</v>
      </c>
      <c r="Y36" s="2"/>
    </row>
    <row r="37" customFormat="false" ht="15" hidden="false" customHeight="false" outlineLevel="0" collapsed="false">
      <c r="A37" s="2" t="s">
        <v>25</v>
      </c>
      <c r="B37" s="2" t="s">
        <v>79</v>
      </c>
      <c r="C37" s="2" t="s">
        <v>80</v>
      </c>
      <c r="D37" s="2" t="s">
        <v>88</v>
      </c>
      <c r="E37" s="3" t="n">
        <v>41128</v>
      </c>
      <c r="F37" s="4" t="n">
        <v>46211</v>
      </c>
      <c r="G37" s="4" t="n">
        <v>46213</v>
      </c>
      <c r="H37" s="3" t="n">
        <f aca="false">IF(G37="","",G37-F37)</f>
        <v>2</v>
      </c>
      <c r="I37" s="2" t="s">
        <v>41</v>
      </c>
      <c r="J37" s="2" t="s">
        <v>30</v>
      </c>
      <c r="K37" s="2" t="s">
        <v>48</v>
      </c>
      <c r="L37" s="2" t="s">
        <v>49</v>
      </c>
      <c r="M37" s="2" t="s">
        <v>50</v>
      </c>
      <c r="N37" s="3" t="n">
        <v>6</v>
      </c>
      <c r="O37" s="5" t="n">
        <v>31.9</v>
      </c>
      <c r="P37" s="5" t="n">
        <f aca="false">N37*O37</f>
        <v>191.4</v>
      </c>
      <c r="Q37" s="6" t="n">
        <v>0.15</v>
      </c>
      <c r="R37" s="5" t="n">
        <f aca="false">ROUND(P37*Q37,2)</f>
        <v>28.71</v>
      </c>
      <c r="S37" s="5" t="n">
        <f aca="false">P37-R37</f>
        <v>162.69</v>
      </c>
      <c r="T37" s="5" t="n">
        <f aca="false">ROUND(S37*Assumptions!$B$2,2)</f>
        <v>9.76</v>
      </c>
      <c r="U37" s="5" t="n">
        <f aca="false">S37+T37</f>
        <v>172.45</v>
      </c>
      <c r="V37" s="5" t="n">
        <v>12.68</v>
      </c>
      <c r="W37" s="5" t="n">
        <f aca="false">U37+V37</f>
        <v>185.13</v>
      </c>
      <c r="X37" s="2" t="s">
        <v>46</v>
      </c>
      <c r="Y37" s="2" t="s">
        <v>52</v>
      </c>
    </row>
    <row r="38" customFormat="false" ht="15" hidden="false" customHeight="false" outlineLevel="0" collapsed="false">
      <c r="A38" s="2" t="s">
        <v>25</v>
      </c>
      <c r="B38" s="2" t="s">
        <v>79</v>
      </c>
      <c r="C38" s="2" t="s">
        <v>80</v>
      </c>
      <c r="D38" s="2" t="s">
        <v>88</v>
      </c>
      <c r="E38" s="3" t="n">
        <v>41130</v>
      </c>
      <c r="F38" s="4" t="n">
        <v>46056</v>
      </c>
      <c r="G38" s="4" t="n">
        <v>46061</v>
      </c>
      <c r="H38" s="3" t="n">
        <f aca="false">IF(G38="","",G38-F38)</f>
        <v>5</v>
      </c>
      <c r="I38" s="2" t="s">
        <v>29</v>
      </c>
      <c r="J38" s="2" t="s">
        <v>35</v>
      </c>
      <c r="K38" s="2" t="s">
        <v>43</v>
      </c>
      <c r="L38" s="2" t="s">
        <v>56</v>
      </c>
      <c r="M38" s="2" t="s">
        <v>57</v>
      </c>
      <c r="N38" s="3" t="n">
        <v>30</v>
      </c>
      <c r="O38" s="5" t="n">
        <v>42</v>
      </c>
      <c r="P38" s="5" t="n">
        <f aca="false">N38*O38</f>
        <v>1260</v>
      </c>
      <c r="Q38" s="6" t="n">
        <v>0</v>
      </c>
      <c r="R38" s="5" t="n">
        <f aca="false">ROUND(P38*Q38,2)</f>
        <v>0</v>
      </c>
      <c r="S38" s="5" t="n">
        <f aca="false">P38-R38</f>
        <v>1260</v>
      </c>
      <c r="T38" s="5" t="n">
        <f aca="false">ROUND(S38*Assumptions!$B$2,2)</f>
        <v>75.6</v>
      </c>
      <c r="U38" s="5" t="n">
        <f aca="false">S38+T38</f>
        <v>1335.6</v>
      </c>
      <c r="V38" s="5" t="n">
        <v>17.68</v>
      </c>
      <c r="W38" s="5" t="n">
        <f aca="false">U38+V38</f>
        <v>1353.28</v>
      </c>
      <c r="X38" s="2" t="s">
        <v>34</v>
      </c>
      <c r="Y38" s="2" t="s">
        <v>84</v>
      </c>
    </row>
    <row r="39" customFormat="false" ht="15" hidden="false" customHeight="false" outlineLevel="0" collapsed="false">
      <c r="A39" s="2" t="s">
        <v>25</v>
      </c>
      <c r="B39" s="2" t="s">
        <v>79</v>
      </c>
      <c r="C39" s="2" t="s">
        <v>89</v>
      </c>
      <c r="D39" s="2" t="s">
        <v>90</v>
      </c>
      <c r="E39" s="3" t="n">
        <v>41137</v>
      </c>
      <c r="F39" s="4" t="n">
        <v>46253</v>
      </c>
      <c r="G39" s="4"/>
      <c r="H39" s="3" t="str">
        <f aca="false">IF(G39="","",G39-F39)</f>
        <v/>
      </c>
      <c r="I39" s="2" t="s">
        <v>29</v>
      </c>
      <c r="J39" s="2" t="s">
        <v>42</v>
      </c>
      <c r="K39" s="2" t="s">
        <v>43</v>
      </c>
      <c r="L39" s="2" t="s">
        <v>44</v>
      </c>
      <c r="M39" s="2" t="s">
        <v>45</v>
      </c>
      <c r="N39" s="3" t="n">
        <v>3</v>
      </c>
      <c r="O39" s="5" t="n">
        <v>13.4</v>
      </c>
      <c r="P39" s="5" t="n">
        <f aca="false">N39*O39</f>
        <v>40.2</v>
      </c>
      <c r="Q39" s="6" t="n">
        <v>0.15</v>
      </c>
      <c r="R39" s="5" t="n">
        <f aca="false">ROUND(P39*Q39,2)</f>
        <v>6.03</v>
      </c>
      <c r="S39" s="5" t="n">
        <f aca="false">P39-R39</f>
        <v>34.17</v>
      </c>
      <c r="T39" s="5" t="n">
        <f aca="false">ROUND(S39*Assumptions!$B$2,2)</f>
        <v>2.05</v>
      </c>
      <c r="U39" s="5" t="n">
        <f aca="false">S39+T39</f>
        <v>36.22</v>
      </c>
      <c r="V39" s="5" t="n">
        <v>0</v>
      </c>
      <c r="W39" s="5" t="n">
        <f aca="false">U39+V39</f>
        <v>36.22</v>
      </c>
      <c r="X39" s="2" t="s">
        <v>51</v>
      </c>
      <c r="Y39" s="2" t="s">
        <v>84</v>
      </c>
    </row>
    <row r="40" customFormat="false" ht="15" hidden="false" customHeight="false" outlineLevel="0" collapsed="false">
      <c r="A40" s="2" t="s">
        <v>25</v>
      </c>
      <c r="B40" s="2" t="s">
        <v>79</v>
      </c>
      <c r="C40" s="2" t="s">
        <v>89</v>
      </c>
      <c r="D40" s="2" t="s">
        <v>90</v>
      </c>
      <c r="E40" s="3" t="n">
        <v>41138</v>
      </c>
      <c r="F40" s="4" t="n">
        <v>46063</v>
      </c>
      <c r="G40" s="4" t="n">
        <v>46070</v>
      </c>
      <c r="H40" s="3" t="n">
        <f aca="false">IF(G40="","",G40-F40)</f>
        <v>7</v>
      </c>
      <c r="I40" s="2" t="s">
        <v>29</v>
      </c>
      <c r="J40" s="2" t="s">
        <v>42</v>
      </c>
      <c r="K40" s="2" t="s">
        <v>48</v>
      </c>
      <c r="L40" s="2" t="s">
        <v>49</v>
      </c>
      <c r="M40" s="2" t="s">
        <v>50</v>
      </c>
      <c r="N40" s="3" t="n">
        <v>30</v>
      </c>
      <c r="O40" s="5" t="n">
        <v>31.9</v>
      </c>
      <c r="P40" s="5" t="n">
        <f aca="false">N40*O40</f>
        <v>957</v>
      </c>
      <c r="Q40" s="6" t="n">
        <v>0</v>
      </c>
      <c r="R40" s="5" t="n">
        <f aca="false">ROUND(P40*Q40,2)</f>
        <v>0</v>
      </c>
      <c r="S40" s="5" t="n">
        <f aca="false">P40-R40</f>
        <v>957</v>
      </c>
      <c r="T40" s="5" t="n">
        <f aca="false">ROUND(S40*Assumptions!$B$2,2)</f>
        <v>57.42</v>
      </c>
      <c r="U40" s="5" t="n">
        <f aca="false">S40+T40</f>
        <v>1014.42</v>
      </c>
      <c r="V40" s="5" t="n">
        <v>15.02</v>
      </c>
      <c r="W40" s="5" t="n">
        <f aca="false">U40+V40</f>
        <v>1029.44</v>
      </c>
      <c r="X40" s="2" t="s">
        <v>46</v>
      </c>
      <c r="Y40" s="2" t="s">
        <v>64</v>
      </c>
    </row>
    <row r="41" customFormat="false" ht="15" hidden="false" customHeight="false" outlineLevel="0" collapsed="false">
      <c r="A41" s="2" t="s">
        <v>25</v>
      </c>
      <c r="B41" s="2" t="s">
        <v>79</v>
      </c>
      <c r="C41" s="2" t="s">
        <v>89</v>
      </c>
      <c r="D41" s="2" t="s">
        <v>90</v>
      </c>
      <c r="E41" s="3" t="n">
        <v>41140</v>
      </c>
      <c r="F41" s="4" t="n">
        <v>46054</v>
      </c>
      <c r="G41" s="4"/>
      <c r="H41" s="3" t="str">
        <f aca="false">IF(G41="","",G41-F41)</f>
        <v/>
      </c>
      <c r="I41" s="2" t="s">
        <v>29</v>
      </c>
      <c r="J41" s="2" t="s">
        <v>30</v>
      </c>
      <c r="K41" s="2" t="s">
        <v>48</v>
      </c>
      <c r="L41" s="2" t="s">
        <v>49</v>
      </c>
      <c r="M41" s="2" t="s">
        <v>50</v>
      </c>
      <c r="N41" s="3" t="n">
        <v>3</v>
      </c>
      <c r="O41" s="5" t="n">
        <v>31.9</v>
      </c>
      <c r="P41" s="5" t="n">
        <f aca="false">N41*O41</f>
        <v>95.7</v>
      </c>
      <c r="Q41" s="6" t="n">
        <v>0</v>
      </c>
      <c r="R41" s="5" t="n">
        <f aca="false">ROUND(P41*Q41,2)</f>
        <v>0</v>
      </c>
      <c r="S41" s="5" t="n">
        <f aca="false">P41-R41</f>
        <v>95.7</v>
      </c>
      <c r="T41" s="5" t="n">
        <f aca="false">ROUND(S41*Assumptions!$B$2,2)</f>
        <v>5.74</v>
      </c>
      <c r="U41" s="5" t="n">
        <f aca="false">S41+T41</f>
        <v>101.44</v>
      </c>
      <c r="V41" s="5" t="n">
        <v>28.22</v>
      </c>
      <c r="W41" s="5" t="n">
        <f aca="false">U41+V41</f>
        <v>129.66</v>
      </c>
      <c r="X41" s="2" t="s">
        <v>39</v>
      </c>
      <c r="Y41" s="2" t="s">
        <v>84</v>
      </c>
    </row>
    <row r="42" customFormat="false" ht="15" hidden="false" customHeight="false" outlineLevel="0" collapsed="false">
      <c r="A42" s="2" t="s">
        <v>25</v>
      </c>
      <c r="B42" s="2" t="s">
        <v>79</v>
      </c>
      <c r="C42" s="2" t="s">
        <v>89</v>
      </c>
      <c r="D42" s="2" t="s">
        <v>91</v>
      </c>
      <c r="E42" s="3" t="n">
        <v>41146</v>
      </c>
      <c r="F42" s="4" t="n">
        <v>46076</v>
      </c>
      <c r="G42" s="4" t="n">
        <v>46081</v>
      </c>
      <c r="H42" s="3" t="n">
        <f aca="false">IF(G42="","",G42-F42)</f>
        <v>5</v>
      </c>
      <c r="I42" s="2" t="s">
        <v>29</v>
      </c>
      <c r="J42" s="2" t="s">
        <v>30</v>
      </c>
      <c r="K42" s="2" t="s">
        <v>59</v>
      </c>
      <c r="L42" s="2" t="s">
        <v>75</v>
      </c>
      <c r="M42" s="2" t="s">
        <v>76</v>
      </c>
      <c r="N42" s="3" t="n">
        <v>8</v>
      </c>
      <c r="O42" s="5" t="n">
        <v>129</v>
      </c>
      <c r="P42" s="5" t="n">
        <f aca="false">N42*O42</f>
        <v>1032</v>
      </c>
      <c r="Q42" s="6" t="n">
        <v>0.15</v>
      </c>
      <c r="R42" s="5" t="n">
        <f aca="false">ROUND(P42*Q42,2)</f>
        <v>154.8</v>
      </c>
      <c r="S42" s="5" t="n">
        <f aca="false">P42-R42</f>
        <v>877.2</v>
      </c>
      <c r="T42" s="5" t="n">
        <f aca="false">ROUND(S42*Assumptions!$B$2,2)</f>
        <v>52.63</v>
      </c>
      <c r="U42" s="5" t="n">
        <f aca="false">S42+T42</f>
        <v>929.83</v>
      </c>
      <c r="V42" s="5" t="n">
        <v>1.13</v>
      </c>
      <c r="W42" s="5" t="n">
        <f aca="false">U42+V42</f>
        <v>930.96</v>
      </c>
      <c r="X42" s="2" t="s">
        <v>46</v>
      </c>
      <c r="Y42" s="2" t="s">
        <v>47</v>
      </c>
    </row>
    <row r="43" customFormat="false" ht="15" hidden="false" customHeight="false" outlineLevel="0" collapsed="false">
      <c r="A43" s="2" t="s">
        <v>25</v>
      </c>
      <c r="B43" s="2" t="s">
        <v>79</v>
      </c>
      <c r="C43" s="2" t="s">
        <v>89</v>
      </c>
      <c r="D43" s="2" t="s">
        <v>91</v>
      </c>
      <c r="E43" s="3" t="n">
        <v>41148</v>
      </c>
      <c r="F43" s="4" t="n">
        <v>46167</v>
      </c>
      <c r="G43" s="4" t="n">
        <v>46171</v>
      </c>
      <c r="H43" s="3" t="n">
        <f aca="false">IF(G43="","",G43-F43)</f>
        <v>4</v>
      </c>
      <c r="I43" s="2" t="s">
        <v>29</v>
      </c>
      <c r="J43" s="2" t="s">
        <v>42</v>
      </c>
      <c r="K43" s="2" t="s">
        <v>59</v>
      </c>
      <c r="L43" s="2" t="s">
        <v>82</v>
      </c>
      <c r="M43" s="2" t="s">
        <v>83</v>
      </c>
      <c r="N43" s="3" t="n">
        <v>50</v>
      </c>
      <c r="O43" s="5" t="n">
        <v>99</v>
      </c>
      <c r="P43" s="5" t="n">
        <f aca="false">N43*O43</f>
        <v>4950</v>
      </c>
      <c r="Q43" s="6" t="n">
        <v>0.15</v>
      </c>
      <c r="R43" s="5" t="n">
        <f aca="false">ROUND(P43*Q43,2)</f>
        <v>742.5</v>
      </c>
      <c r="S43" s="5" t="n">
        <f aca="false">P43-R43</f>
        <v>4207.5</v>
      </c>
      <c r="T43" s="5" t="n">
        <f aca="false">ROUND(S43*Assumptions!$B$2,2)</f>
        <v>252.45</v>
      </c>
      <c r="U43" s="5" t="n">
        <f aca="false">S43+T43</f>
        <v>4459.95</v>
      </c>
      <c r="V43" s="5" t="n">
        <v>21.4</v>
      </c>
      <c r="W43" s="5" t="n">
        <f aca="false">U43+V43</f>
        <v>4481.35</v>
      </c>
      <c r="X43" s="2" t="s">
        <v>46</v>
      </c>
      <c r="Y43" s="2"/>
    </row>
    <row r="44" customFormat="false" ht="15" hidden="false" customHeight="false" outlineLevel="0" collapsed="false">
      <c r="A44" s="2" t="s">
        <v>25</v>
      </c>
      <c r="B44" s="2" t="s">
        <v>79</v>
      </c>
      <c r="C44" s="2" t="s">
        <v>89</v>
      </c>
      <c r="D44" s="2" t="s">
        <v>91</v>
      </c>
      <c r="E44" s="3" t="n">
        <v>41150</v>
      </c>
      <c r="F44" s="4" t="n">
        <v>46084</v>
      </c>
      <c r="G44" s="4" t="n">
        <v>46090</v>
      </c>
      <c r="H44" s="3" t="n">
        <f aca="false">IF(G44="","",G44-F44)</f>
        <v>6</v>
      </c>
      <c r="I44" s="2" t="s">
        <v>29</v>
      </c>
      <c r="J44" s="2" t="s">
        <v>30</v>
      </c>
      <c r="K44" s="2" t="s">
        <v>36</v>
      </c>
      <c r="L44" s="2" t="s">
        <v>86</v>
      </c>
      <c r="M44" s="2" t="s">
        <v>87</v>
      </c>
      <c r="N44" s="3" t="n">
        <v>24</v>
      </c>
      <c r="O44" s="5" t="n">
        <v>21.95</v>
      </c>
      <c r="P44" s="5" t="n">
        <f aca="false">N44*O44</f>
        <v>526.8</v>
      </c>
      <c r="Q44" s="6" t="n">
        <v>0.1</v>
      </c>
      <c r="R44" s="5" t="n">
        <f aca="false">ROUND(P44*Q44,2)</f>
        <v>52.68</v>
      </c>
      <c r="S44" s="5" t="n">
        <f aca="false">P44-R44</f>
        <v>474.12</v>
      </c>
      <c r="T44" s="5" t="n">
        <f aca="false">ROUND(S44*Assumptions!$B$2,2)</f>
        <v>28.45</v>
      </c>
      <c r="U44" s="5" t="n">
        <f aca="false">S44+T44</f>
        <v>502.57</v>
      </c>
      <c r="V44" s="5" t="n">
        <v>44.54</v>
      </c>
      <c r="W44" s="5" t="n">
        <f aca="false">U44+V44</f>
        <v>547.11</v>
      </c>
      <c r="X44" s="2" t="s">
        <v>46</v>
      </c>
      <c r="Y44" s="2"/>
    </row>
    <row r="45" customFormat="false" ht="15" hidden="false" customHeight="false" outlineLevel="0" collapsed="false">
      <c r="A45" s="2" t="s">
        <v>25</v>
      </c>
      <c r="B45" s="2" t="s">
        <v>79</v>
      </c>
      <c r="C45" s="2" t="s">
        <v>89</v>
      </c>
      <c r="D45" s="2" t="s">
        <v>91</v>
      </c>
      <c r="E45" s="3" t="n">
        <v>41151</v>
      </c>
      <c r="F45" s="4" t="n">
        <v>46133</v>
      </c>
      <c r="G45" s="4" t="n">
        <v>46137</v>
      </c>
      <c r="H45" s="3" t="n">
        <f aca="false">IF(G45="","",G45-F45)</f>
        <v>4</v>
      </c>
      <c r="I45" s="2" t="s">
        <v>29</v>
      </c>
      <c r="J45" s="2" t="s">
        <v>42</v>
      </c>
      <c r="K45" s="2" t="s">
        <v>43</v>
      </c>
      <c r="L45" s="2" t="s">
        <v>56</v>
      </c>
      <c r="M45" s="2" t="s">
        <v>57</v>
      </c>
      <c r="N45" s="3" t="n">
        <v>50</v>
      </c>
      <c r="O45" s="5" t="n">
        <v>42</v>
      </c>
      <c r="P45" s="5" t="n">
        <f aca="false">N45*O45</f>
        <v>2100</v>
      </c>
      <c r="Q45" s="6" t="n">
        <v>0</v>
      </c>
      <c r="R45" s="5" t="n">
        <f aca="false">ROUND(P45*Q45,2)</f>
        <v>0</v>
      </c>
      <c r="S45" s="5" t="n">
        <f aca="false">P45-R45</f>
        <v>2100</v>
      </c>
      <c r="T45" s="5" t="n">
        <f aca="false">ROUND(S45*Assumptions!$B$2,2)</f>
        <v>126</v>
      </c>
      <c r="U45" s="5" t="n">
        <f aca="false">S45+T45</f>
        <v>2226</v>
      </c>
      <c r="V45" s="5" t="n">
        <v>12.42</v>
      </c>
      <c r="W45" s="5" t="n">
        <f aca="false">U45+V45</f>
        <v>2238.42</v>
      </c>
      <c r="X45" s="2" t="s">
        <v>34</v>
      </c>
      <c r="Y45" s="2"/>
    </row>
    <row r="46" customFormat="false" ht="15" hidden="false" customHeight="false" outlineLevel="0" collapsed="false">
      <c r="A46" s="2" t="s">
        <v>25</v>
      </c>
      <c r="B46" s="2" t="s">
        <v>79</v>
      </c>
      <c r="C46" s="2" t="s">
        <v>89</v>
      </c>
      <c r="D46" s="2" t="s">
        <v>92</v>
      </c>
      <c r="E46" s="3" t="n">
        <v>41152</v>
      </c>
      <c r="F46" s="4" t="n">
        <v>46188</v>
      </c>
      <c r="G46" s="4" t="n">
        <v>46190</v>
      </c>
      <c r="H46" s="3" t="n">
        <f aca="false">IF(G46="","",G46-F46)</f>
        <v>2</v>
      </c>
      <c r="I46" s="2" t="s">
        <v>41</v>
      </c>
      <c r="J46" s="2" t="s">
        <v>42</v>
      </c>
      <c r="K46" s="2" t="s">
        <v>36</v>
      </c>
      <c r="L46" s="2" t="s">
        <v>93</v>
      </c>
      <c r="M46" s="2" t="s">
        <v>94</v>
      </c>
      <c r="N46" s="3" t="n">
        <v>15</v>
      </c>
      <c r="O46" s="5" t="n">
        <v>16.8</v>
      </c>
      <c r="P46" s="5" t="n">
        <f aca="false">N46*O46</f>
        <v>252</v>
      </c>
      <c r="Q46" s="6" t="n">
        <v>0.05</v>
      </c>
      <c r="R46" s="5" t="n">
        <f aca="false">ROUND(P46*Q46,2)</f>
        <v>12.6</v>
      </c>
      <c r="S46" s="5" t="n">
        <f aca="false">P46-R46</f>
        <v>239.4</v>
      </c>
      <c r="T46" s="5" t="n">
        <f aca="false">ROUND(S46*Assumptions!$B$2,2)</f>
        <v>14.36</v>
      </c>
      <c r="U46" s="5" t="n">
        <f aca="false">S46+T46</f>
        <v>253.76</v>
      </c>
      <c r="V46" s="5" t="n">
        <v>31.2</v>
      </c>
      <c r="W46" s="5" t="n">
        <f aca="false">U46+V46</f>
        <v>284.96</v>
      </c>
      <c r="X46" s="2" t="s">
        <v>46</v>
      </c>
      <c r="Y46" s="2"/>
    </row>
    <row r="47" customFormat="false" ht="15" hidden="false" customHeight="false" outlineLevel="0" collapsed="false">
      <c r="A47" s="2" t="s">
        <v>25</v>
      </c>
      <c r="B47" s="2" t="s">
        <v>79</v>
      </c>
      <c r="C47" s="2" t="s">
        <v>89</v>
      </c>
      <c r="D47" s="2" t="s">
        <v>92</v>
      </c>
      <c r="E47" s="3" t="n">
        <v>41155</v>
      </c>
      <c r="F47" s="4" t="n">
        <v>46029</v>
      </c>
      <c r="G47" s="4" t="n">
        <v>46034</v>
      </c>
      <c r="H47" s="3" t="n">
        <f aca="false">IF(G47="","",G47-F47)</f>
        <v>5</v>
      </c>
      <c r="I47" s="2" t="s">
        <v>29</v>
      </c>
      <c r="J47" s="2" t="s">
        <v>42</v>
      </c>
      <c r="K47" s="2" t="s">
        <v>43</v>
      </c>
      <c r="L47" s="2" t="s">
        <v>68</v>
      </c>
      <c r="M47" s="2" t="s">
        <v>69</v>
      </c>
      <c r="N47" s="3" t="n">
        <v>1</v>
      </c>
      <c r="O47" s="5" t="n">
        <v>118</v>
      </c>
      <c r="P47" s="5" t="n">
        <f aca="false">N47*O47</f>
        <v>118</v>
      </c>
      <c r="Q47" s="6" t="n">
        <v>0</v>
      </c>
      <c r="R47" s="5" t="n">
        <f aca="false">ROUND(P47*Q47,2)</f>
        <v>0</v>
      </c>
      <c r="S47" s="5" t="n">
        <f aca="false">P47-R47</f>
        <v>118</v>
      </c>
      <c r="T47" s="5" t="n">
        <f aca="false">ROUND(S47*Assumptions!$B$2,2)</f>
        <v>7.08</v>
      </c>
      <c r="U47" s="5" t="n">
        <f aca="false">S47+T47</f>
        <v>125.08</v>
      </c>
      <c r="V47" s="5" t="n">
        <v>15.43</v>
      </c>
      <c r="W47" s="5" t="n">
        <f aca="false">U47+V47</f>
        <v>140.51</v>
      </c>
      <c r="X47" s="2" t="s">
        <v>46</v>
      </c>
      <c r="Y47" s="2"/>
    </row>
    <row r="48" customFormat="false" ht="15" hidden="false" customHeight="false" outlineLevel="0" collapsed="false">
      <c r="A48" s="2" t="s">
        <v>25</v>
      </c>
      <c r="B48" s="2" t="s">
        <v>79</v>
      </c>
      <c r="C48" s="2" t="s">
        <v>89</v>
      </c>
      <c r="D48" s="2" t="s">
        <v>92</v>
      </c>
      <c r="E48" s="3" t="n">
        <v>41156</v>
      </c>
      <c r="F48" s="4" t="n">
        <v>46208</v>
      </c>
      <c r="G48" s="4"/>
      <c r="H48" s="3" t="str">
        <f aca="false">IF(G48="","",G48-F48)</f>
        <v/>
      </c>
      <c r="I48" s="2" t="s">
        <v>29</v>
      </c>
      <c r="J48" s="2" t="s">
        <v>30</v>
      </c>
      <c r="K48" s="2" t="s">
        <v>36</v>
      </c>
      <c r="L48" s="2" t="s">
        <v>86</v>
      </c>
      <c r="M48" s="2" t="s">
        <v>87</v>
      </c>
      <c r="N48" s="3" t="n">
        <v>8</v>
      </c>
      <c r="O48" s="5" t="n">
        <v>21.95</v>
      </c>
      <c r="P48" s="5" t="n">
        <f aca="false">N48*O48</f>
        <v>175.6</v>
      </c>
      <c r="Q48" s="6" t="n">
        <v>0.05</v>
      </c>
      <c r="R48" s="5" t="n">
        <f aca="false">ROUND(P48*Q48,2)</f>
        <v>8.78</v>
      </c>
      <c r="S48" s="5" t="n">
        <f aca="false">P48-R48</f>
        <v>166.82</v>
      </c>
      <c r="T48" s="5" t="n">
        <f aca="false">ROUND(S48*Assumptions!$B$2,2)</f>
        <v>10.01</v>
      </c>
      <c r="U48" s="5" t="n">
        <f aca="false">S48+T48</f>
        <v>176.83</v>
      </c>
      <c r="V48" s="5" t="n">
        <v>0</v>
      </c>
      <c r="W48" s="5" t="n">
        <f aca="false">U48+V48</f>
        <v>176.83</v>
      </c>
      <c r="X48" s="2" t="s">
        <v>51</v>
      </c>
      <c r="Y48" s="2"/>
    </row>
    <row r="49" customFormat="false" ht="15" hidden="false" customHeight="false" outlineLevel="0" collapsed="false">
      <c r="A49" s="2" t="s">
        <v>25</v>
      </c>
      <c r="B49" s="2" t="s">
        <v>95</v>
      </c>
      <c r="C49" s="2" t="s">
        <v>96</v>
      </c>
      <c r="D49" s="2" t="s">
        <v>97</v>
      </c>
      <c r="E49" s="3" t="n">
        <v>41163</v>
      </c>
      <c r="F49" s="4" t="n">
        <v>46230</v>
      </c>
      <c r="G49" s="4"/>
      <c r="H49" s="3" t="str">
        <f aca="false">IF(G49="","",G49-F49)</f>
        <v/>
      </c>
      <c r="I49" s="2" t="s">
        <v>41</v>
      </c>
      <c r="J49" s="2" t="s">
        <v>42</v>
      </c>
      <c r="K49" s="2" t="s">
        <v>36</v>
      </c>
      <c r="L49" s="2" t="s">
        <v>93</v>
      </c>
      <c r="M49" s="2" t="s">
        <v>94</v>
      </c>
      <c r="N49" s="3" t="n">
        <v>5</v>
      </c>
      <c r="O49" s="5" t="n">
        <v>16.8</v>
      </c>
      <c r="P49" s="5" t="n">
        <f aca="false">N49*O49</f>
        <v>84</v>
      </c>
      <c r="Q49" s="6" t="n">
        <v>0.1</v>
      </c>
      <c r="R49" s="5" t="n">
        <f aca="false">ROUND(P49*Q49,2)</f>
        <v>8.4</v>
      </c>
      <c r="S49" s="5" t="n">
        <f aca="false">P49-R49</f>
        <v>75.6</v>
      </c>
      <c r="T49" s="5" t="n">
        <f aca="false">ROUND(S49*Assumptions!$B$2,2)</f>
        <v>4.54</v>
      </c>
      <c r="U49" s="5" t="n">
        <f aca="false">S49+T49</f>
        <v>80.14</v>
      </c>
      <c r="V49" s="5" t="n">
        <v>0</v>
      </c>
      <c r="W49" s="5" t="n">
        <f aca="false">U49+V49</f>
        <v>80.14</v>
      </c>
      <c r="X49" s="2" t="s">
        <v>51</v>
      </c>
      <c r="Y49" s="2" t="s">
        <v>67</v>
      </c>
    </row>
    <row r="50" customFormat="false" ht="15" hidden="false" customHeight="false" outlineLevel="0" collapsed="false">
      <c r="A50" s="2" t="s">
        <v>25</v>
      </c>
      <c r="B50" s="2" t="s">
        <v>95</v>
      </c>
      <c r="C50" s="2" t="s">
        <v>96</v>
      </c>
      <c r="D50" s="2" t="s">
        <v>97</v>
      </c>
      <c r="E50" s="3" t="n">
        <v>41164</v>
      </c>
      <c r="F50" s="4" t="n">
        <v>46127</v>
      </c>
      <c r="G50" s="4" t="n">
        <v>46136</v>
      </c>
      <c r="H50" s="3" t="n">
        <f aca="false">IF(G50="","",G50-F50)</f>
        <v>9</v>
      </c>
      <c r="I50" s="2" t="s">
        <v>41</v>
      </c>
      <c r="J50" s="2" t="s">
        <v>35</v>
      </c>
      <c r="K50" s="2" t="s">
        <v>43</v>
      </c>
      <c r="L50" s="2" t="s">
        <v>44</v>
      </c>
      <c r="M50" s="2" t="s">
        <v>45</v>
      </c>
      <c r="N50" s="3" t="n">
        <v>15</v>
      </c>
      <c r="O50" s="5" t="n">
        <v>13.4</v>
      </c>
      <c r="P50" s="5" t="n">
        <f aca="false">N50*O50</f>
        <v>201</v>
      </c>
      <c r="Q50" s="6" t="n">
        <v>0</v>
      </c>
      <c r="R50" s="5" t="n">
        <f aca="false">ROUND(P50*Q50,2)</f>
        <v>0</v>
      </c>
      <c r="S50" s="5" t="n">
        <f aca="false">P50-R50</f>
        <v>201</v>
      </c>
      <c r="T50" s="5" t="n">
        <f aca="false">ROUND(S50*Assumptions!$B$2,2)</f>
        <v>12.06</v>
      </c>
      <c r="U50" s="5" t="n">
        <f aca="false">S50+T50</f>
        <v>213.06</v>
      </c>
      <c r="V50" s="5" t="n">
        <v>17.4</v>
      </c>
      <c r="W50" s="5" t="n">
        <f aca="false">U50+V50</f>
        <v>230.46</v>
      </c>
      <c r="X50" s="2" t="s">
        <v>46</v>
      </c>
      <c r="Y50" s="2" t="s">
        <v>67</v>
      </c>
    </row>
    <row r="51" customFormat="false" ht="15" hidden="false" customHeight="false" outlineLevel="0" collapsed="false">
      <c r="A51" s="2" t="s">
        <v>25</v>
      </c>
      <c r="B51" s="2" t="s">
        <v>95</v>
      </c>
      <c r="C51" s="2" t="s">
        <v>96</v>
      </c>
      <c r="D51" s="2" t="s">
        <v>98</v>
      </c>
      <c r="E51" s="3" t="n">
        <v>41171</v>
      </c>
      <c r="F51" s="4" t="n">
        <v>46049</v>
      </c>
      <c r="G51" s="4" t="n">
        <v>46056</v>
      </c>
      <c r="H51" s="3" t="n">
        <f aca="false">IF(G51="","",G51-F51)</f>
        <v>7</v>
      </c>
      <c r="I51" s="2" t="s">
        <v>29</v>
      </c>
      <c r="J51" s="2" t="s">
        <v>30</v>
      </c>
      <c r="K51" s="2" t="s">
        <v>36</v>
      </c>
      <c r="L51" s="2" t="s">
        <v>86</v>
      </c>
      <c r="M51" s="2" t="s">
        <v>87</v>
      </c>
      <c r="N51" s="3" t="n">
        <v>15</v>
      </c>
      <c r="O51" s="5" t="n">
        <v>21.95</v>
      </c>
      <c r="P51" s="5" t="n">
        <f aca="false">N51*O51</f>
        <v>329.25</v>
      </c>
      <c r="Q51" s="6" t="n">
        <v>0.1</v>
      </c>
      <c r="R51" s="5" t="n">
        <f aca="false">ROUND(P51*Q51,2)</f>
        <v>32.93</v>
      </c>
      <c r="S51" s="5" t="n">
        <f aca="false">P51-R51</f>
        <v>296.32</v>
      </c>
      <c r="T51" s="5" t="n">
        <f aca="false">ROUND(S51*Assumptions!$B$2,2)</f>
        <v>17.78</v>
      </c>
      <c r="U51" s="5" t="n">
        <f aca="false">S51+T51</f>
        <v>314.1</v>
      </c>
      <c r="V51" s="5" t="n">
        <v>12.96</v>
      </c>
      <c r="W51" s="5" t="n">
        <f aca="false">U51+V51</f>
        <v>327.06</v>
      </c>
      <c r="X51" s="2" t="s">
        <v>34</v>
      </c>
      <c r="Y51" s="2" t="s">
        <v>58</v>
      </c>
    </row>
    <row r="52" customFormat="false" ht="15" hidden="false" customHeight="false" outlineLevel="0" collapsed="false">
      <c r="A52" s="2" t="s">
        <v>25</v>
      </c>
      <c r="B52" s="2" t="s">
        <v>95</v>
      </c>
      <c r="C52" s="2" t="s">
        <v>96</v>
      </c>
      <c r="D52" s="2" t="s">
        <v>98</v>
      </c>
      <c r="E52" s="3" t="n">
        <v>41173</v>
      </c>
      <c r="F52" s="4" t="n">
        <v>46126</v>
      </c>
      <c r="G52" s="4" t="n">
        <v>46132</v>
      </c>
      <c r="H52" s="3" t="n">
        <f aca="false">IF(G52="","",G52-F52)</f>
        <v>6</v>
      </c>
      <c r="I52" s="2" t="s">
        <v>29</v>
      </c>
      <c r="J52" s="2" t="s">
        <v>30</v>
      </c>
      <c r="K52" s="2" t="s">
        <v>43</v>
      </c>
      <c r="L52" s="2" t="s">
        <v>44</v>
      </c>
      <c r="M52" s="2" t="s">
        <v>45</v>
      </c>
      <c r="N52" s="3" t="n">
        <v>40</v>
      </c>
      <c r="O52" s="5" t="n">
        <v>13.4</v>
      </c>
      <c r="P52" s="5" t="n">
        <f aca="false">N52*O52</f>
        <v>536</v>
      </c>
      <c r="Q52" s="6" t="n">
        <v>0.05</v>
      </c>
      <c r="R52" s="5" t="n">
        <f aca="false">ROUND(P52*Q52,2)</f>
        <v>26.8</v>
      </c>
      <c r="S52" s="5" t="n">
        <f aca="false">P52-R52</f>
        <v>509.2</v>
      </c>
      <c r="T52" s="5" t="n">
        <f aca="false">ROUND(S52*Assumptions!$B$2,2)</f>
        <v>30.55</v>
      </c>
      <c r="U52" s="5" t="n">
        <f aca="false">S52+T52</f>
        <v>539.75</v>
      </c>
      <c r="V52" s="5" t="n">
        <v>36.48</v>
      </c>
      <c r="W52" s="5" t="n">
        <f aca="false">U52+V52</f>
        <v>576.23</v>
      </c>
      <c r="X52" s="2" t="s">
        <v>46</v>
      </c>
      <c r="Y52" s="2" t="s">
        <v>47</v>
      </c>
    </row>
    <row r="53" customFormat="false" ht="15" hidden="false" customHeight="false" outlineLevel="0" collapsed="false">
      <c r="A53" s="2" t="s">
        <v>25</v>
      </c>
      <c r="B53" s="2" t="s">
        <v>95</v>
      </c>
      <c r="C53" s="2" t="s">
        <v>96</v>
      </c>
      <c r="D53" s="2" t="s">
        <v>98</v>
      </c>
      <c r="E53" s="3" t="n">
        <v>41179</v>
      </c>
      <c r="F53" s="4" t="n">
        <v>46179</v>
      </c>
      <c r="G53" s="4" t="n">
        <v>46183</v>
      </c>
      <c r="H53" s="3" t="n">
        <f aca="false">IF(G53="","",G53-F53)</f>
        <v>4</v>
      </c>
      <c r="I53" s="2" t="s">
        <v>41</v>
      </c>
      <c r="J53" s="2" t="s">
        <v>30</v>
      </c>
      <c r="K53" s="2" t="s">
        <v>43</v>
      </c>
      <c r="L53" s="2" t="s">
        <v>56</v>
      </c>
      <c r="M53" s="2" t="s">
        <v>57</v>
      </c>
      <c r="N53" s="3" t="n">
        <v>6</v>
      </c>
      <c r="O53" s="5" t="n">
        <v>42</v>
      </c>
      <c r="P53" s="5" t="n">
        <f aca="false">N53*O53</f>
        <v>252</v>
      </c>
      <c r="Q53" s="6" t="n">
        <v>0.05</v>
      </c>
      <c r="R53" s="5" t="n">
        <f aca="false">ROUND(P53*Q53,2)</f>
        <v>12.6</v>
      </c>
      <c r="S53" s="5" t="n">
        <f aca="false">P53-R53</f>
        <v>239.4</v>
      </c>
      <c r="T53" s="5" t="n">
        <f aca="false">ROUND(S53*Assumptions!$B$2,2)</f>
        <v>14.36</v>
      </c>
      <c r="U53" s="5" t="n">
        <f aca="false">S53+T53</f>
        <v>253.76</v>
      </c>
      <c r="V53" s="5" t="n">
        <v>31.85</v>
      </c>
      <c r="W53" s="5" t="n">
        <f aca="false">U53+V53</f>
        <v>285.61</v>
      </c>
      <c r="X53" s="2" t="s">
        <v>46</v>
      </c>
      <c r="Y53" s="2"/>
    </row>
    <row r="54" customFormat="false" ht="15" hidden="false" customHeight="false" outlineLevel="0" collapsed="false">
      <c r="A54" s="2" t="s">
        <v>25</v>
      </c>
      <c r="B54" s="2" t="s">
        <v>95</v>
      </c>
      <c r="C54" s="2" t="s">
        <v>96</v>
      </c>
      <c r="D54" s="2" t="s">
        <v>98</v>
      </c>
      <c r="E54" s="3" t="n">
        <v>41184</v>
      </c>
      <c r="F54" s="4" t="n">
        <v>46225</v>
      </c>
      <c r="G54" s="4" t="n">
        <v>46229</v>
      </c>
      <c r="H54" s="3" t="n">
        <f aca="false">IF(G54="","",G54-F54)</f>
        <v>4</v>
      </c>
      <c r="I54" s="2" t="s">
        <v>29</v>
      </c>
      <c r="J54" s="2" t="s">
        <v>35</v>
      </c>
      <c r="K54" s="2" t="s">
        <v>31</v>
      </c>
      <c r="L54" s="2" t="s">
        <v>71</v>
      </c>
      <c r="M54" s="2" t="s">
        <v>72</v>
      </c>
      <c r="N54" s="3" t="n">
        <v>4</v>
      </c>
      <c r="O54" s="5" t="n">
        <v>34.99</v>
      </c>
      <c r="P54" s="5" t="n">
        <f aca="false">N54*O54</f>
        <v>139.96</v>
      </c>
      <c r="Q54" s="6" t="n">
        <v>0.05</v>
      </c>
      <c r="R54" s="5" t="n">
        <f aca="false">ROUND(P54*Q54,2)</f>
        <v>7</v>
      </c>
      <c r="S54" s="5" t="n">
        <f aca="false">P54-R54</f>
        <v>132.96</v>
      </c>
      <c r="T54" s="5" t="n">
        <f aca="false">ROUND(S54*Assumptions!$B$2,2)</f>
        <v>7.98</v>
      </c>
      <c r="U54" s="5" t="n">
        <f aca="false">S54+T54</f>
        <v>140.94</v>
      </c>
      <c r="V54" s="5" t="n">
        <v>32.83</v>
      </c>
      <c r="W54" s="5" t="n">
        <f aca="false">U54+V54</f>
        <v>173.77</v>
      </c>
      <c r="X54" s="2" t="s">
        <v>46</v>
      </c>
      <c r="Y54" s="2" t="s">
        <v>64</v>
      </c>
    </row>
    <row r="55" customFormat="false" ht="15" hidden="false" customHeight="false" outlineLevel="0" collapsed="false">
      <c r="A55" s="2" t="s">
        <v>25</v>
      </c>
      <c r="B55" s="2" t="s">
        <v>95</v>
      </c>
      <c r="C55" s="2" t="s">
        <v>96</v>
      </c>
      <c r="D55" s="2" t="s">
        <v>98</v>
      </c>
      <c r="E55" s="3" t="n">
        <v>41185</v>
      </c>
      <c r="F55" s="4" t="n">
        <v>46104</v>
      </c>
      <c r="G55" s="4" t="n">
        <v>46106</v>
      </c>
      <c r="H55" s="3" t="n">
        <f aca="false">IF(G55="","",G55-F55)</f>
        <v>2</v>
      </c>
      <c r="I55" s="2" t="s">
        <v>41</v>
      </c>
      <c r="J55" s="2" t="s">
        <v>42</v>
      </c>
      <c r="K55" s="2" t="s">
        <v>36</v>
      </c>
      <c r="L55" s="2" t="s">
        <v>93</v>
      </c>
      <c r="M55" s="2" t="s">
        <v>94</v>
      </c>
      <c r="N55" s="3" t="n">
        <v>15</v>
      </c>
      <c r="O55" s="5" t="n">
        <v>16.8</v>
      </c>
      <c r="P55" s="5" t="n">
        <f aca="false">N55*O55</f>
        <v>252</v>
      </c>
      <c r="Q55" s="6" t="n">
        <v>0</v>
      </c>
      <c r="R55" s="5" t="n">
        <f aca="false">ROUND(P55*Q55,2)</f>
        <v>0</v>
      </c>
      <c r="S55" s="5" t="n">
        <f aca="false">P55-R55</f>
        <v>252</v>
      </c>
      <c r="T55" s="5" t="n">
        <f aca="false">ROUND(S55*Assumptions!$B$2,2)</f>
        <v>15.12</v>
      </c>
      <c r="U55" s="5" t="n">
        <f aca="false">S55+T55</f>
        <v>267.12</v>
      </c>
      <c r="V55" s="5" t="n">
        <v>14.1</v>
      </c>
      <c r="W55" s="5" t="n">
        <f aca="false">U55+V55</f>
        <v>281.22</v>
      </c>
      <c r="X55" s="2" t="s">
        <v>34</v>
      </c>
      <c r="Y55" s="2" t="s">
        <v>52</v>
      </c>
    </row>
    <row r="56" customFormat="false" ht="15" hidden="false" customHeight="false" outlineLevel="0" collapsed="false">
      <c r="A56" s="2" t="s">
        <v>25</v>
      </c>
      <c r="B56" s="2" t="s">
        <v>95</v>
      </c>
      <c r="C56" s="2" t="s">
        <v>96</v>
      </c>
      <c r="D56" s="2" t="s">
        <v>98</v>
      </c>
      <c r="E56" s="3" t="n">
        <v>41191</v>
      </c>
      <c r="F56" s="4" t="n">
        <v>46262</v>
      </c>
      <c r="G56" s="4" t="n">
        <v>46269</v>
      </c>
      <c r="H56" s="3" t="n">
        <f aca="false">IF(G56="","",G56-F56)</f>
        <v>7</v>
      </c>
      <c r="I56" s="2" t="s">
        <v>29</v>
      </c>
      <c r="J56" s="2" t="s">
        <v>35</v>
      </c>
      <c r="K56" s="2" t="s">
        <v>31</v>
      </c>
      <c r="L56" s="2" t="s">
        <v>62</v>
      </c>
      <c r="M56" s="2" t="s">
        <v>63</v>
      </c>
      <c r="N56" s="3" t="n">
        <v>10</v>
      </c>
      <c r="O56" s="5" t="n">
        <v>19.5</v>
      </c>
      <c r="P56" s="5" t="n">
        <f aca="false">N56*O56</f>
        <v>195</v>
      </c>
      <c r="Q56" s="6" t="n">
        <v>0</v>
      </c>
      <c r="R56" s="5" t="n">
        <f aca="false">ROUND(P56*Q56,2)</f>
        <v>0</v>
      </c>
      <c r="S56" s="5" t="n">
        <f aca="false">P56-R56</f>
        <v>195</v>
      </c>
      <c r="T56" s="5" t="n">
        <f aca="false">ROUND(S56*Assumptions!$B$2,2)</f>
        <v>11.7</v>
      </c>
      <c r="U56" s="5" t="n">
        <f aca="false">S56+T56</f>
        <v>206.7</v>
      </c>
      <c r="V56" s="5" t="n">
        <v>29.79</v>
      </c>
      <c r="W56" s="5" t="n">
        <f aca="false">U56+V56</f>
        <v>236.49</v>
      </c>
      <c r="X56" s="2" t="s">
        <v>34</v>
      </c>
      <c r="Y56" s="2" t="s">
        <v>47</v>
      </c>
    </row>
    <row r="57" customFormat="false" ht="15" hidden="false" customHeight="false" outlineLevel="0" collapsed="false">
      <c r="A57" s="2" t="s">
        <v>99</v>
      </c>
      <c r="B57" s="2" t="s">
        <v>100</v>
      </c>
      <c r="C57" s="2" t="s">
        <v>101</v>
      </c>
      <c r="D57" s="2" t="s">
        <v>102</v>
      </c>
      <c r="E57" s="3" t="n">
        <v>41195</v>
      </c>
      <c r="F57" s="4" t="n">
        <v>46055</v>
      </c>
      <c r="G57" s="4"/>
      <c r="H57" s="3" t="str">
        <f aca="false">IF(G57="","",G57-F57)</f>
        <v/>
      </c>
      <c r="I57" s="2" t="s">
        <v>103</v>
      </c>
      <c r="J57" s="2" t="s">
        <v>30</v>
      </c>
      <c r="K57" s="2" t="s">
        <v>59</v>
      </c>
      <c r="L57" s="2" t="s">
        <v>60</v>
      </c>
      <c r="M57" s="2" t="s">
        <v>61</v>
      </c>
      <c r="N57" s="3" t="n">
        <v>12</v>
      </c>
      <c r="O57" s="5" t="n">
        <v>64.5</v>
      </c>
      <c r="P57" s="5" t="n">
        <f aca="false">N57*O57</f>
        <v>774</v>
      </c>
      <c r="Q57" s="6" t="n">
        <v>0.1</v>
      </c>
      <c r="R57" s="5" t="n">
        <f aca="false">ROUND(P57*Q57,2)</f>
        <v>77.4</v>
      </c>
      <c r="S57" s="5" t="n">
        <f aca="false">P57-R57</f>
        <v>696.6</v>
      </c>
      <c r="T57" s="5" t="n">
        <f aca="false">ROUND(S57*Assumptions!$B$2,2)</f>
        <v>41.8</v>
      </c>
      <c r="U57" s="5" t="n">
        <f aca="false">S57+T57</f>
        <v>738.4</v>
      </c>
      <c r="V57" s="5" t="n">
        <v>39.51</v>
      </c>
      <c r="W57" s="5" t="n">
        <f aca="false">U57+V57</f>
        <v>777.91</v>
      </c>
      <c r="X57" s="2" t="s">
        <v>39</v>
      </c>
      <c r="Y57" s="2"/>
    </row>
    <row r="58" customFormat="false" ht="15" hidden="false" customHeight="false" outlineLevel="0" collapsed="false">
      <c r="A58" s="2" t="s">
        <v>99</v>
      </c>
      <c r="B58" s="2" t="s">
        <v>100</v>
      </c>
      <c r="C58" s="2" t="s">
        <v>101</v>
      </c>
      <c r="D58" s="2" t="s">
        <v>102</v>
      </c>
      <c r="E58" s="3" t="n">
        <v>41198</v>
      </c>
      <c r="F58" s="4" t="n">
        <v>46073</v>
      </c>
      <c r="G58" s="4"/>
      <c r="H58" s="3" t="str">
        <f aca="false">IF(G58="","",G58-F58)</f>
        <v/>
      </c>
      <c r="I58" s="2" t="s">
        <v>103</v>
      </c>
      <c r="J58" s="2" t="s">
        <v>35</v>
      </c>
      <c r="K58" s="2" t="s">
        <v>36</v>
      </c>
      <c r="L58" s="2" t="s">
        <v>37</v>
      </c>
      <c r="M58" s="2" t="s">
        <v>38</v>
      </c>
      <c r="N58" s="3" t="n">
        <v>40</v>
      </c>
      <c r="O58" s="5" t="n">
        <v>27.6</v>
      </c>
      <c r="P58" s="5" t="n">
        <f aca="false">N58*O58</f>
        <v>1104</v>
      </c>
      <c r="Q58" s="6" t="n">
        <v>0.1</v>
      </c>
      <c r="R58" s="5" t="n">
        <f aca="false">ROUND(P58*Q58,2)</f>
        <v>110.4</v>
      </c>
      <c r="S58" s="5" t="n">
        <f aca="false">P58-R58</f>
        <v>993.6</v>
      </c>
      <c r="T58" s="5" t="n">
        <f aca="false">ROUND(S58*Assumptions!$B$2,2)</f>
        <v>59.62</v>
      </c>
      <c r="U58" s="5" t="n">
        <f aca="false">S58+T58</f>
        <v>1053.22</v>
      </c>
      <c r="V58" s="5" t="n">
        <v>0</v>
      </c>
      <c r="W58" s="5" t="n">
        <f aca="false">U58+V58</f>
        <v>1053.22</v>
      </c>
      <c r="X58" s="2" t="s">
        <v>51</v>
      </c>
      <c r="Y58" s="2"/>
    </row>
    <row r="59" customFormat="false" ht="15" hidden="false" customHeight="false" outlineLevel="0" collapsed="false">
      <c r="A59" s="2" t="s">
        <v>99</v>
      </c>
      <c r="B59" s="2" t="s">
        <v>100</v>
      </c>
      <c r="C59" s="2" t="s">
        <v>101</v>
      </c>
      <c r="D59" s="2" t="s">
        <v>102</v>
      </c>
      <c r="E59" s="3" t="n">
        <v>41202</v>
      </c>
      <c r="F59" s="4" t="n">
        <v>46099</v>
      </c>
      <c r="G59" s="4" t="n">
        <v>46106</v>
      </c>
      <c r="H59" s="3" t="n">
        <f aca="false">IF(G59="","",G59-F59)</f>
        <v>7</v>
      </c>
      <c r="I59" s="2" t="s">
        <v>104</v>
      </c>
      <c r="J59" s="2" t="s">
        <v>42</v>
      </c>
      <c r="K59" s="2" t="s">
        <v>48</v>
      </c>
      <c r="L59" s="2" t="s">
        <v>54</v>
      </c>
      <c r="M59" s="2" t="s">
        <v>55</v>
      </c>
      <c r="N59" s="3" t="n">
        <v>6</v>
      </c>
      <c r="O59" s="5" t="n">
        <v>22.75</v>
      </c>
      <c r="P59" s="5" t="n">
        <f aca="false">N59*O59</f>
        <v>136.5</v>
      </c>
      <c r="Q59" s="6" t="n">
        <v>0</v>
      </c>
      <c r="R59" s="5" t="n">
        <f aca="false">ROUND(P59*Q59,2)</f>
        <v>0</v>
      </c>
      <c r="S59" s="5" t="n">
        <f aca="false">P59-R59</f>
        <v>136.5</v>
      </c>
      <c r="T59" s="5" t="n">
        <f aca="false">ROUND(S59*Assumptions!$B$2,2)</f>
        <v>8.19</v>
      </c>
      <c r="U59" s="5" t="n">
        <f aca="false">S59+T59</f>
        <v>144.69</v>
      </c>
      <c r="V59" s="5" t="n">
        <v>27.32</v>
      </c>
      <c r="W59" s="5" t="n">
        <f aca="false">U59+V59</f>
        <v>172.01</v>
      </c>
      <c r="X59" s="2" t="s">
        <v>46</v>
      </c>
      <c r="Y59" s="2" t="s">
        <v>73</v>
      </c>
    </row>
    <row r="60" customFormat="false" ht="15" hidden="false" customHeight="false" outlineLevel="0" collapsed="false">
      <c r="A60" s="2" t="s">
        <v>99</v>
      </c>
      <c r="B60" s="2" t="s">
        <v>100</v>
      </c>
      <c r="C60" s="2" t="s">
        <v>101</v>
      </c>
      <c r="D60" s="2" t="s">
        <v>102</v>
      </c>
      <c r="E60" s="3" t="n">
        <v>41207</v>
      </c>
      <c r="F60" s="4" t="n">
        <v>46242</v>
      </c>
      <c r="G60" s="4" t="n">
        <v>46250</v>
      </c>
      <c r="H60" s="3" t="n">
        <f aca="false">IF(G60="","",G60-F60)</f>
        <v>8</v>
      </c>
      <c r="I60" s="2" t="s">
        <v>103</v>
      </c>
      <c r="J60" s="2" t="s">
        <v>42</v>
      </c>
      <c r="K60" s="2" t="s">
        <v>48</v>
      </c>
      <c r="L60" s="2" t="s">
        <v>49</v>
      </c>
      <c r="M60" s="2" t="s">
        <v>50</v>
      </c>
      <c r="N60" s="3" t="n">
        <v>6</v>
      </c>
      <c r="O60" s="5" t="n">
        <v>31.9</v>
      </c>
      <c r="P60" s="5" t="n">
        <f aca="false">N60*O60</f>
        <v>191.4</v>
      </c>
      <c r="Q60" s="6" t="n">
        <v>0.15</v>
      </c>
      <c r="R60" s="5" t="n">
        <f aca="false">ROUND(P60*Q60,2)</f>
        <v>28.71</v>
      </c>
      <c r="S60" s="5" t="n">
        <f aca="false">P60-R60</f>
        <v>162.69</v>
      </c>
      <c r="T60" s="5" t="n">
        <f aca="false">ROUND(S60*Assumptions!$B$2,2)</f>
        <v>9.76</v>
      </c>
      <c r="U60" s="5" t="n">
        <f aca="false">S60+T60</f>
        <v>172.45</v>
      </c>
      <c r="V60" s="5" t="n">
        <v>0.88</v>
      </c>
      <c r="W60" s="5" t="n">
        <f aca="false">U60+V60</f>
        <v>173.33</v>
      </c>
      <c r="X60" s="2" t="s">
        <v>46</v>
      </c>
      <c r="Y60" s="2" t="s">
        <v>58</v>
      </c>
    </row>
    <row r="61" customFormat="false" ht="15" hidden="false" customHeight="false" outlineLevel="0" collapsed="false">
      <c r="A61" s="2" t="s">
        <v>99</v>
      </c>
      <c r="B61" s="2" t="s">
        <v>100</v>
      </c>
      <c r="C61" s="2" t="s">
        <v>101</v>
      </c>
      <c r="D61" s="2" t="s">
        <v>102</v>
      </c>
      <c r="E61" s="3" t="n">
        <v>41209</v>
      </c>
      <c r="F61" s="4" t="n">
        <v>46119</v>
      </c>
      <c r="G61" s="4"/>
      <c r="H61" s="3" t="str">
        <f aca="false">IF(G61="","",G61-F61)</f>
        <v/>
      </c>
      <c r="I61" s="2" t="s">
        <v>104</v>
      </c>
      <c r="J61" s="2" t="s">
        <v>30</v>
      </c>
      <c r="K61" s="2" t="s">
        <v>36</v>
      </c>
      <c r="L61" s="2" t="s">
        <v>37</v>
      </c>
      <c r="M61" s="2" t="s">
        <v>38</v>
      </c>
      <c r="N61" s="3" t="n">
        <v>50</v>
      </c>
      <c r="O61" s="5" t="n">
        <v>27.6</v>
      </c>
      <c r="P61" s="5" t="n">
        <f aca="false">N61*O61</f>
        <v>1380</v>
      </c>
      <c r="Q61" s="6" t="n">
        <v>0.05</v>
      </c>
      <c r="R61" s="5" t="n">
        <f aca="false">ROUND(P61*Q61,2)</f>
        <v>69</v>
      </c>
      <c r="S61" s="5" t="n">
        <f aca="false">P61-R61</f>
        <v>1311</v>
      </c>
      <c r="T61" s="5" t="n">
        <f aca="false">ROUND(S61*Assumptions!$B$2,2)</f>
        <v>78.66</v>
      </c>
      <c r="U61" s="5" t="n">
        <f aca="false">S61+T61</f>
        <v>1389.66</v>
      </c>
      <c r="V61" s="5" t="n">
        <v>0</v>
      </c>
      <c r="W61" s="5" t="n">
        <f aca="false">U61+V61</f>
        <v>1389.66</v>
      </c>
      <c r="X61" s="2" t="s">
        <v>51</v>
      </c>
      <c r="Y61" s="2" t="s">
        <v>84</v>
      </c>
    </row>
    <row r="62" customFormat="false" ht="15" hidden="false" customHeight="false" outlineLevel="0" collapsed="false">
      <c r="A62" s="2" t="s">
        <v>99</v>
      </c>
      <c r="B62" s="2" t="s">
        <v>100</v>
      </c>
      <c r="C62" s="2" t="s">
        <v>101</v>
      </c>
      <c r="D62" s="2" t="s">
        <v>105</v>
      </c>
      <c r="E62" s="3" t="n">
        <v>41213</v>
      </c>
      <c r="F62" s="4" t="n">
        <v>46213</v>
      </c>
      <c r="G62" s="4"/>
      <c r="H62" s="3" t="str">
        <f aca="false">IF(G62="","",G62-F62)</f>
        <v/>
      </c>
      <c r="I62" s="2" t="s">
        <v>103</v>
      </c>
      <c r="J62" s="2" t="s">
        <v>30</v>
      </c>
      <c r="K62" s="2" t="s">
        <v>43</v>
      </c>
      <c r="L62" s="2" t="s">
        <v>56</v>
      </c>
      <c r="M62" s="2" t="s">
        <v>57</v>
      </c>
      <c r="N62" s="3" t="n">
        <v>3</v>
      </c>
      <c r="O62" s="5" t="n">
        <v>42</v>
      </c>
      <c r="P62" s="5" t="n">
        <f aca="false">N62*O62</f>
        <v>126</v>
      </c>
      <c r="Q62" s="6" t="n">
        <v>0.15</v>
      </c>
      <c r="R62" s="5" t="n">
        <f aca="false">ROUND(P62*Q62,2)</f>
        <v>18.9</v>
      </c>
      <c r="S62" s="5" t="n">
        <f aca="false">P62-R62</f>
        <v>107.1</v>
      </c>
      <c r="T62" s="5" t="n">
        <f aca="false">ROUND(S62*Assumptions!$B$2,2)</f>
        <v>6.43</v>
      </c>
      <c r="U62" s="5" t="n">
        <f aca="false">S62+T62</f>
        <v>113.53</v>
      </c>
      <c r="V62" s="5" t="n">
        <v>14.67</v>
      </c>
      <c r="W62" s="5" t="n">
        <f aca="false">U62+V62</f>
        <v>128.2</v>
      </c>
      <c r="X62" s="2" t="s">
        <v>39</v>
      </c>
      <c r="Y62" s="2" t="s">
        <v>47</v>
      </c>
    </row>
    <row r="63" customFormat="false" ht="15" hidden="false" customHeight="false" outlineLevel="0" collapsed="false">
      <c r="A63" s="2" t="s">
        <v>99</v>
      </c>
      <c r="B63" s="2" t="s">
        <v>100</v>
      </c>
      <c r="C63" s="2" t="s">
        <v>101</v>
      </c>
      <c r="D63" s="2" t="s">
        <v>105</v>
      </c>
      <c r="E63" s="3" t="n">
        <v>41217</v>
      </c>
      <c r="F63" s="4" t="n">
        <v>46068</v>
      </c>
      <c r="G63" s="4"/>
      <c r="H63" s="3" t="str">
        <f aca="false">IF(G63="","",G63-F63)</f>
        <v/>
      </c>
      <c r="I63" s="2" t="s">
        <v>103</v>
      </c>
      <c r="J63" s="2" t="s">
        <v>30</v>
      </c>
      <c r="K63" s="2" t="s">
        <v>31</v>
      </c>
      <c r="L63" s="2" t="s">
        <v>62</v>
      </c>
      <c r="M63" s="2" t="s">
        <v>63</v>
      </c>
      <c r="N63" s="3" t="n">
        <v>1</v>
      </c>
      <c r="O63" s="5" t="n">
        <v>19.5</v>
      </c>
      <c r="P63" s="5" t="n">
        <f aca="false">N63*O63</f>
        <v>19.5</v>
      </c>
      <c r="Q63" s="6" t="n">
        <v>0.1</v>
      </c>
      <c r="R63" s="5" t="n">
        <f aca="false">ROUND(P63*Q63,2)</f>
        <v>1.95</v>
      </c>
      <c r="S63" s="5" t="n">
        <f aca="false">P63-R63</f>
        <v>17.55</v>
      </c>
      <c r="T63" s="5" t="n">
        <f aca="false">ROUND(S63*Assumptions!$B$2,2)</f>
        <v>1.05</v>
      </c>
      <c r="U63" s="5" t="n">
        <f aca="false">S63+T63</f>
        <v>18.6</v>
      </c>
      <c r="V63" s="5" t="n">
        <v>0</v>
      </c>
      <c r="W63" s="5" t="n">
        <f aca="false">U63+V63</f>
        <v>18.6</v>
      </c>
      <c r="X63" s="2" t="s">
        <v>51</v>
      </c>
      <c r="Y63" s="2" t="s">
        <v>67</v>
      </c>
    </row>
    <row r="64" customFormat="false" ht="15" hidden="false" customHeight="false" outlineLevel="0" collapsed="false">
      <c r="A64" s="2" t="s">
        <v>99</v>
      </c>
      <c r="B64" s="2" t="s">
        <v>100</v>
      </c>
      <c r="C64" s="2" t="s">
        <v>101</v>
      </c>
      <c r="D64" s="2" t="s">
        <v>105</v>
      </c>
      <c r="E64" s="3" t="n">
        <v>41220</v>
      </c>
      <c r="F64" s="4" t="n">
        <v>46172</v>
      </c>
      <c r="G64" s="4" t="n">
        <v>46181</v>
      </c>
      <c r="H64" s="3" t="n">
        <f aca="false">IF(G64="","",G64-F64)</f>
        <v>9</v>
      </c>
      <c r="I64" s="2" t="s">
        <v>103</v>
      </c>
      <c r="J64" s="2" t="s">
        <v>35</v>
      </c>
      <c r="K64" s="2" t="s">
        <v>43</v>
      </c>
      <c r="L64" s="2" t="s">
        <v>44</v>
      </c>
      <c r="M64" s="2" t="s">
        <v>45</v>
      </c>
      <c r="N64" s="3" t="n">
        <v>20</v>
      </c>
      <c r="O64" s="5" t="n">
        <v>13.4</v>
      </c>
      <c r="P64" s="5" t="n">
        <f aca="false">N64*O64</f>
        <v>268</v>
      </c>
      <c r="Q64" s="6" t="n">
        <v>0.1</v>
      </c>
      <c r="R64" s="5" t="n">
        <f aca="false">ROUND(P64*Q64,2)</f>
        <v>26.8</v>
      </c>
      <c r="S64" s="5" t="n">
        <f aca="false">P64-R64</f>
        <v>241.2</v>
      </c>
      <c r="T64" s="5" t="n">
        <f aca="false">ROUND(S64*Assumptions!$B$2,2)</f>
        <v>14.47</v>
      </c>
      <c r="U64" s="5" t="n">
        <f aca="false">S64+T64</f>
        <v>255.67</v>
      </c>
      <c r="V64" s="5" t="n">
        <v>41.5</v>
      </c>
      <c r="W64" s="5" t="n">
        <f aca="false">U64+V64</f>
        <v>297.17</v>
      </c>
      <c r="X64" s="2" t="s">
        <v>34</v>
      </c>
      <c r="Y64" s="2"/>
    </row>
    <row r="65" customFormat="false" ht="15" hidden="false" customHeight="false" outlineLevel="0" collapsed="false">
      <c r="A65" s="2" t="s">
        <v>99</v>
      </c>
      <c r="B65" s="2" t="s">
        <v>100</v>
      </c>
      <c r="C65" s="2" t="s">
        <v>101</v>
      </c>
      <c r="D65" s="2" t="s">
        <v>105</v>
      </c>
      <c r="E65" s="3" t="n">
        <v>41227</v>
      </c>
      <c r="F65" s="4" t="n">
        <v>46112</v>
      </c>
      <c r="G65" s="4" t="n">
        <v>46116</v>
      </c>
      <c r="H65" s="3" t="n">
        <f aca="false">IF(G65="","",G65-F65)</f>
        <v>4</v>
      </c>
      <c r="I65" s="2" t="s">
        <v>103</v>
      </c>
      <c r="J65" s="2" t="s">
        <v>30</v>
      </c>
      <c r="K65" s="2" t="s">
        <v>48</v>
      </c>
      <c r="L65" s="2" t="s">
        <v>54</v>
      </c>
      <c r="M65" s="2" t="s">
        <v>55</v>
      </c>
      <c r="N65" s="3" t="n">
        <v>2</v>
      </c>
      <c r="O65" s="5" t="n">
        <v>22.75</v>
      </c>
      <c r="P65" s="5" t="n">
        <f aca="false">N65*O65</f>
        <v>45.5</v>
      </c>
      <c r="Q65" s="6" t="n">
        <v>0.15</v>
      </c>
      <c r="R65" s="5" t="n">
        <f aca="false">ROUND(P65*Q65,2)</f>
        <v>6.83</v>
      </c>
      <c r="S65" s="5" t="n">
        <f aca="false">P65-R65</f>
        <v>38.67</v>
      </c>
      <c r="T65" s="5" t="n">
        <f aca="false">ROUND(S65*Assumptions!$B$2,2)</f>
        <v>2.32</v>
      </c>
      <c r="U65" s="5" t="n">
        <f aca="false">S65+T65</f>
        <v>40.99</v>
      </c>
      <c r="V65" s="5" t="n">
        <v>40.22</v>
      </c>
      <c r="W65" s="5" t="n">
        <f aca="false">U65+V65</f>
        <v>81.21</v>
      </c>
      <c r="X65" s="2" t="s">
        <v>46</v>
      </c>
      <c r="Y65" s="2"/>
    </row>
    <row r="66" customFormat="false" ht="15" hidden="false" customHeight="false" outlineLevel="0" collapsed="false">
      <c r="A66" s="2" t="s">
        <v>99</v>
      </c>
      <c r="B66" s="2" t="s">
        <v>100</v>
      </c>
      <c r="C66" s="2" t="s">
        <v>101</v>
      </c>
      <c r="D66" s="2" t="s">
        <v>105</v>
      </c>
      <c r="E66" s="3" t="n">
        <v>41230</v>
      </c>
      <c r="F66" s="4" t="n">
        <v>46235</v>
      </c>
      <c r="G66" s="4" t="n">
        <v>46238</v>
      </c>
      <c r="H66" s="3" t="n">
        <f aca="false">IF(G66="","",G66-F66)</f>
        <v>3</v>
      </c>
      <c r="I66" s="2" t="s">
        <v>104</v>
      </c>
      <c r="J66" s="2" t="s">
        <v>42</v>
      </c>
      <c r="K66" s="2" t="s">
        <v>36</v>
      </c>
      <c r="L66" s="2" t="s">
        <v>93</v>
      </c>
      <c r="M66" s="2" t="s">
        <v>94</v>
      </c>
      <c r="N66" s="3" t="n">
        <v>25</v>
      </c>
      <c r="O66" s="5" t="n">
        <v>16.8</v>
      </c>
      <c r="P66" s="5" t="n">
        <f aca="false">N66*O66</f>
        <v>420</v>
      </c>
      <c r="Q66" s="6" t="n">
        <v>0.05</v>
      </c>
      <c r="R66" s="5" t="n">
        <f aca="false">ROUND(P66*Q66,2)</f>
        <v>21</v>
      </c>
      <c r="S66" s="5" t="n">
        <f aca="false">P66-R66</f>
        <v>399</v>
      </c>
      <c r="T66" s="5" t="n">
        <f aca="false">ROUND(S66*Assumptions!$B$2,2)</f>
        <v>23.94</v>
      </c>
      <c r="U66" s="5" t="n">
        <f aca="false">S66+T66</f>
        <v>422.94</v>
      </c>
      <c r="V66" s="5" t="n">
        <v>25.38</v>
      </c>
      <c r="W66" s="5" t="n">
        <f aca="false">U66+V66</f>
        <v>448.32</v>
      </c>
      <c r="X66" s="2" t="s">
        <v>34</v>
      </c>
      <c r="Y66" s="2" t="s">
        <v>84</v>
      </c>
    </row>
    <row r="67" customFormat="false" ht="15" hidden="false" customHeight="false" outlineLevel="0" collapsed="false">
      <c r="A67" s="2" t="s">
        <v>99</v>
      </c>
      <c r="B67" s="2" t="s">
        <v>100</v>
      </c>
      <c r="C67" s="2" t="s">
        <v>106</v>
      </c>
      <c r="D67" s="2" t="s">
        <v>107</v>
      </c>
      <c r="E67" s="3" t="n">
        <v>41233</v>
      </c>
      <c r="F67" s="4" t="n">
        <v>46162</v>
      </c>
      <c r="G67" s="4" t="n">
        <v>46167</v>
      </c>
      <c r="H67" s="3" t="n">
        <f aca="false">IF(G67="","",G67-F67)</f>
        <v>5</v>
      </c>
      <c r="I67" s="2" t="s">
        <v>103</v>
      </c>
      <c r="J67" s="2" t="s">
        <v>42</v>
      </c>
      <c r="K67" s="2" t="s">
        <v>36</v>
      </c>
      <c r="L67" s="2" t="s">
        <v>93</v>
      </c>
      <c r="M67" s="2" t="s">
        <v>94</v>
      </c>
      <c r="N67" s="3" t="n">
        <v>4</v>
      </c>
      <c r="O67" s="5" t="n">
        <v>16.8</v>
      </c>
      <c r="P67" s="5" t="n">
        <f aca="false">N67*O67</f>
        <v>67.2</v>
      </c>
      <c r="Q67" s="6" t="n">
        <v>0</v>
      </c>
      <c r="R67" s="5" t="n">
        <f aca="false">ROUND(P67*Q67,2)</f>
        <v>0</v>
      </c>
      <c r="S67" s="5" t="n">
        <f aca="false">P67-R67</f>
        <v>67.2</v>
      </c>
      <c r="T67" s="5" t="n">
        <f aca="false">ROUND(S67*Assumptions!$B$2,2)</f>
        <v>4.03</v>
      </c>
      <c r="U67" s="5" t="n">
        <f aca="false">S67+T67</f>
        <v>71.23</v>
      </c>
      <c r="V67" s="5" t="n">
        <v>31.61</v>
      </c>
      <c r="W67" s="5" t="n">
        <f aca="false">U67+V67</f>
        <v>102.84</v>
      </c>
      <c r="X67" s="2" t="s">
        <v>46</v>
      </c>
      <c r="Y67" s="2"/>
    </row>
    <row r="68" customFormat="false" ht="15" hidden="false" customHeight="false" outlineLevel="0" collapsed="false">
      <c r="A68" s="2" t="s">
        <v>99</v>
      </c>
      <c r="B68" s="2" t="s">
        <v>100</v>
      </c>
      <c r="C68" s="2" t="s">
        <v>106</v>
      </c>
      <c r="D68" s="2" t="s">
        <v>107</v>
      </c>
      <c r="E68" s="3" t="n">
        <v>41240</v>
      </c>
      <c r="F68" s="4" t="n">
        <v>46162</v>
      </c>
      <c r="G68" s="4"/>
      <c r="H68" s="3" t="str">
        <f aca="false">IF(G68="","",G68-F68)</f>
        <v/>
      </c>
      <c r="I68" s="2" t="s">
        <v>104</v>
      </c>
      <c r="J68" s="2" t="s">
        <v>42</v>
      </c>
      <c r="K68" s="2" t="s">
        <v>48</v>
      </c>
      <c r="L68" s="2" t="s">
        <v>54</v>
      </c>
      <c r="M68" s="2" t="s">
        <v>55</v>
      </c>
      <c r="N68" s="3" t="n">
        <v>12</v>
      </c>
      <c r="O68" s="5" t="n">
        <v>22.75</v>
      </c>
      <c r="P68" s="5" t="n">
        <f aca="false">N68*O68</f>
        <v>273</v>
      </c>
      <c r="Q68" s="6" t="n">
        <v>0.1</v>
      </c>
      <c r="R68" s="5" t="n">
        <f aca="false">ROUND(P68*Q68,2)</f>
        <v>27.3</v>
      </c>
      <c r="S68" s="5" t="n">
        <f aca="false">P68-R68</f>
        <v>245.7</v>
      </c>
      <c r="T68" s="5" t="n">
        <f aca="false">ROUND(S68*Assumptions!$B$2,2)</f>
        <v>14.74</v>
      </c>
      <c r="U68" s="5" t="n">
        <f aca="false">S68+T68</f>
        <v>260.44</v>
      </c>
      <c r="V68" s="5" t="n">
        <v>4.92</v>
      </c>
      <c r="W68" s="5" t="n">
        <f aca="false">U68+V68</f>
        <v>265.36</v>
      </c>
      <c r="X68" s="2" t="s">
        <v>39</v>
      </c>
      <c r="Y68" s="2" t="s">
        <v>47</v>
      </c>
    </row>
    <row r="69" customFormat="false" ht="15" hidden="false" customHeight="false" outlineLevel="0" collapsed="false">
      <c r="A69" s="2" t="s">
        <v>99</v>
      </c>
      <c r="B69" s="2" t="s">
        <v>100</v>
      </c>
      <c r="C69" s="2" t="s">
        <v>106</v>
      </c>
      <c r="D69" s="2" t="s">
        <v>108</v>
      </c>
      <c r="E69" s="3" t="n">
        <v>41243</v>
      </c>
      <c r="F69" s="4" t="n">
        <v>46097</v>
      </c>
      <c r="G69" s="4" t="n">
        <v>46103</v>
      </c>
      <c r="H69" s="3" t="n">
        <f aca="false">IF(G69="","",G69-F69)</f>
        <v>6</v>
      </c>
      <c r="I69" s="2" t="s">
        <v>104</v>
      </c>
      <c r="J69" s="2" t="s">
        <v>35</v>
      </c>
      <c r="K69" s="2" t="s">
        <v>43</v>
      </c>
      <c r="L69" s="2" t="s">
        <v>68</v>
      </c>
      <c r="M69" s="2" t="s">
        <v>69</v>
      </c>
      <c r="N69" s="3" t="n">
        <v>6</v>
      </c>
      <c r="O69" s="5" t="n">
        <v>118</v>
      </c>
      <c r="P69" s="5" t="n">
        <f aca="false">N69*O69</f>
        <v>708</v>
      </c>
      <c r="Q69" s="6" t="n">
        <v>0.05</v>
      </c>
      <c r="R69" s="5" t="n">
        <f aca="false">ROUND(P69*Q69,2)</f>
        <v>35.4</v>
      </c>
      <c r="S69" s="5" t="n">
        <f aca="false">P69-R69</f>
        <v>672.6</v>
      </c>
      <c r="T69" s="5" t="n">
        <f aca="false">ROUND(S69*Assumptions!$B$2,2)</f>
        <v>40.36</v>
      </c>
      <c r="U69" s="5" t="n">
        <f aca="false">S69+T69</f>
        <v>712.96</v>
      </c>
      <c r="V69" s="5" t="n">
        <v>27.9</v>
      </c>
      <c r="W69" s="5" t="n">
        <f aca="false">U69+V69</f>
        <v>740.86</v>
      </c>
      <c r="X69" s="2" t="s">
        <v>46</v>
      </c>
      <c r="Y69" s="2" t="s">
        <v>67</v>
      </c>
    </row>
    <row r="70" customFormat="false" ht="15" hidden="false" customHeight="false" outlineLevel="0" collapsed="false">
      <c r="A70" s="2" t="s">
        <v>99</v>
      </c>
      <c r="B70" s="2" t="s">
        <v>100</v>
      </c>
      <c r="C70" s="2" t="s">
        <v>106</v>
      </c>
      <c r="D70" s="2" t="s">
        <v>108</v>
      </c>
      <c r="E70" s="3" t="n">
        <v>41245</v>
      </c>
      <c r="F70" s="4" t="n">
        <v>46176</v>
      </c>
      <c r="G70" s="4" t="n">
        <v>46181</v>
      </c>
      <c r="H70" s="3" t="n">
        <f aca="false">IF(G70="","",G70-F70)</f>
        <v>5</v>
      </c>
      <c r="I70" s="2" t="s">
        <v>104</v>
      </c>
      <c r="J70" s="2" t="s">
        <v>42</v>
      </c>
      <c r="K70" s="2" t="s">
        <v>48</v>
      </c>
      <c r="L70" s="2" t="s">
        <v>77</v>
      </c>
      <c r="M70" s="2" t="s">
        <v>78</v>
      </c>
      <c r="N70" s="3" t="n">
        <v>12</v>
      </c>
      <c r="O70" s="5" t="n">
        <v>18.4</v>
      </c>
      <c r="P70" s="5" t="n">
        <f aca="false">N70*O70</f>
        <v>220.8</v>
      </c>
      <c r="Q70" s="6" t="n">
        <v>0</v>
      </c>
      <c r="R70" s="5" t="n">
        <f aca="false">ROUND(P70*Q70,2)</f>
        <v>0</v>
      </c>
      <c r="S70" s="5" t="n">
        <f aca="false">P70-R70</f>
        <v>220.8</v>
      </c>
      <c r="T70" s="5" t="n">
        <f aca="false">ROUND(S70*Assumptions!$B$2,2)</f>
        <v>13.25</v>
      </c>
      <c r="U70" s="5" t="n">
        <f aca="false">S70+T70</f>
        <v>234.05</v>
      </c>
      <c r="V70" s="5" t="n">
        <v>27.93</v>
      </c>
      <c r="W70" s="5" t="n">
        <f aca="false">U70+V70</f>
        <v>261.98</v>
      </c>
      <c r="X70" s="2" t="s">
        <v>46</v>
      </c>
      <c r="Y70" s="2" t="s">
        <v>47</v>
      </c>
    </row>
    <row r="71" customFormat="false" ht="15" hidden="false" customHeight="false" outlineLevel="0" collapsed="false">
      <c r="A71" s="2" t="s">
        <v>99</v>
      </c>
      <c r="B71" s="2" t="s">
        <v>100</v>
      </c>
      <c r="C71" s="2" t="s">
        <v>106</v>
      </c>
      <c r="D71" s="2" t="s">
        <v>108</v>
      </c>
      <c r="E71" s="3" t="n">
        <v>41247</v>
      </c>
      <c r="F71" s="4" t="n">
        <v>46126</v>
      </c>
      <c r="G71" s="4"/>
      <c r="H71" s="3" t="str">
        <f aca="false">IF(G71="","",G71-F71)</f>
        <v/>
      </c>
      <c r="I71" s="2" t="s">
        <v>104</v>
      </c>
      <c r="J71" s="2" t="s">
        <v>42</v>
      </c>
      <c r="K71" s="2" t="s">
        <v>43</v>
      </c>
      <c r="L71" s="2" t="s">
        <v>44</v>
      </c>
      <c r="M71" s="2" t="s">
        <v>45</v>
      </c>
      <c r="N71" s="3" t="n">
        <v>5</v>
      </c>
      <c r="O71" s="5" t="n">
        <v>13.4</v>
      </c>
      <c r="P71" s="5" t="n">
        <f aca="false">N71*O71</f>
        <v>67</v>
      </c>
      <c r="Q71" s="6" t="n">
        <v>0.1</v>
      </c>
      <c r="R71" s="5" t="n">
        <f aca="false">ROUND(P71*Q71,2)</f>
        <v>6.7</v>
      </c>
      <c r="S71" s="5" t="n">
        <f aca="false">P71-R71</f>
        <v>60.3</v>
      </c>
      <c r="T71" s="5" t="n">
        <f aca="false">ROUND(S71*Assumptions!$B$2,2)</f>
        <v>3.62</v>
      </c>
      <c r="U71" s="5" t="n">
        <f aca="false">S71+T71</f>
        <v>63.92</v>
      </c>
      <c r="V71" s="5" t="n">
        <v>0</v>
      </c>
      <c r="W71" s="5" t="n">
        <f aca="false">U71+V71</f>
        <v>63.92</v>
      </c>
      <c r="X71" s="2" t="s">
        <v>51</v>
      </c>
      <c r="Y71" s="2"/>
    </row>
    <row r="72" customFormat="false" ht="15" hidden="false" customHeight="false" outlineLevel="0" collapsed="false">
      <c r="A72" s="2" t="s">
        <v>99</v>
      </c>
      <c r="B72" s="2" t="s">
        <v>100</v>
      </c>
      <c r="C72" s="2" t="s">
        <v>106</v>
      </c>
      <c r="D72" s="2" t="s">
        <v>108</v>
      </c>
      <c r="E72" s="3" t="n">
        <v>41248</v>
      </c>
      <c r="F72" s="4" t="n">
        <v>46102</v>
      </c>
      <c r="G72" s="4" t="n">
        <v>46109</v>
      </c>
      <c r="H72" s="3" t="n">
        <f aca="false">IF(G72="","",G72-F72)</f>
        <v>7</v>
      </c>
      <c r="I72" s="2" t="s">
        <v>103</v>
      </c>
      <c r="J72" s="2" t="s">
        <v>35</v>
      </c>
      <c r="K72" s="2" t="s">
        <v>43</v>
      </c>
      <c r="L72" s="2" t="s">
        <v>68</v>
      </c>
      <c r="M72" s="2" t="s">
        <v>69</v>
      </c>
      <c r="N72" s="3" t="n">
        <v>3</v>
      </c>
      <c r="O72" s="5" t="n">
        <v>118</v>
      </c>
      <c r="P72" s="5" t="n">
        <f aca="false">N72*O72</f>
        <v>354</v>
      </c>
      <c r="Q72" s="6" t="n">
        <v>0</v>
      </c>
      <c r="R72" s="5" t="n">
        <f aca="false">ROUND(P72*Q72,2)</f>
        <v>0</v>
      </c>
      <c r="S72" s="5" t="n">
        <f aca="false">P72-R72</f>
        <v>354</v>
      </c>
      <c r="T72" s="5" t="n">
        <f aca="false">ROUND(S72*Assumptions!$B$2,2)</f>
        <v>21.24</v>
      </c>
      <c r="U72" s="5" t="n">
        <f aca="false">S72+T72</f>
        <v>375.24</v>
      </c>
      <c r="V72" s="5" t="n">
        <v>14.42</v>
      </c>
      <c r="W72" s="5" t="n">
        <f aca="false">U72+V72</f>
        <v>389.66</v>
      </c>
      <c r="X72" s="2" t="s">
        <v>46</v>
      </c>
      <c r="Y72" s="2" t="s">
        <v>73</v>
      </c>
    </row>
    <row r="73" customFormat="false" ht="15" hidden="false" customHeight="false" outlineLevel="0" collapsed="false">
      <c r="A73" s="2" t="s">
        <v>99</v>
      </c>
      <c r="B73" s="2" t="s">
        <v>100</v>
      </c>
      <c r="C73" s="2" t="s">
        <v>106</v>
      </c>
      <c r="D73" s="2" t="s">
        <v>108</v>
      </c>
      <c r="E73" s="3" t="n">
        <v>41249</v>
      </c>
      <c r="F73" s="4" t="n">
        <v>46077</v>
      </c>
      <c r="G73" s="4" t="n">
        <v>46079</v>
      </c>
      <c r="H73" s="3" t="n">
        <f aca="false">IF(G73="","",G73-F73)</f>
        <v>2</v>
      </c>
      <c r="I73" s="2" t="s">
        <v>104</v>
      </c>
      <c r="J73" s="2" t="s">
        <v>35</v>
      </c>
      <c r="K73" s="2" t="s">
        <v>31</v>
      </c>
      <c r="L73" s="2" t="s">
        <v>32</v>
      </c>
      <c r="M73" s="2" t="s">
        <v>33</v>
      </c>
      <c r="N73" s="3" t="n">
        <v>10</v>
      </c>
      <c r="O73" s="5" t="n">
        <v>14.25</v>
      </c>
      <c r="P73" s="5" t="n">
        <f aca="false">N73*O73</f>
        <v>142.5</v>
      </c>
      <c r="Q73" s="6" t="n">
        <v>0</v>
      </c>
      <c r="R73" s="5" t="n">
        <f aca="false">ROUND(P73*Q73,2)</f>
        <v>0</v>
      </c>
      <c r="S73" s="5" t="n">
        <f aca="false">P73-R73</f>
        <v>142.5</v>
      </c>
      <c r="T73" s="5" t="n">
        <f aca="false">ROUND(S73*Assumptions!$B$2,2)</f>
        <v>8.55</v>
      </c>
      <c r="U73" s="5" t="n">
        <f aca="false">S73+T73</f>
        <v>151.05</v>
      </c>
      <c r="V73" s="5" t="n">
        <v>32.5</v>
      </c>
      <c r="W73" s="5" t="n">
        <f aca="false">U73+V73</f>
        <v>183.55</v>
      </c>
      <c r="X73" s="2" t="s">
        <v>46</v>
      </c>
      <c r="Y73" s="2" t="s">
        <v>58</v>
      </c>
    </row>
    <row r="74" customFormat="false" ht="15" hidden="false" customHeight="false" outlineLevel="0" collapsed="false">
      <c r="A74" s="2" t="s">
        <v>99</v>
      </c>
      <c r="B74" s="2" t="s">
        <v>100</v>
      </c>
      <c r="C74" s="2" t="s">
        <v>106</v>
      </c>
      <c r="D74" s="2" t="s">
        <v>108</v>
      </c>
      <c r="E74" s="3" t="n">
        <v>41250</v>
      </c>
      <c r="F74" s="4" t="n">
        <v>46078</v>
      </c>
      <c r="G74" s="4" t="n">
        <v>46082</v>
      </c>
      <c r="H74" s="3" t="n">
        <f aca="false">IF(G74="","",G74-F74)</f>
        <v>4</v>
      </c>
      <c r="I74" s="2" t="s">
        <v>104</v>
      </c>
      <c r="J74" s="2" t="s">
        <v>42</v>
      </c>
      <c r="K74" s="2" t="s">
        <v>36</v>
      </c>
      <c r="L74" s="2" t="s">
        <v>93</v>
      </c>
      <c r="M74" s="2" t="s">
        <v>94</v>
      </c>
      <c r="N74" s="3" t="n">
        <v>1</v>
      </c>
      <c r="O74" s="5" t="n">
        <v>16.8</v>
      </c>
      <c r="P74" s="5" t="n">
        <f aca="false">N74*O74</f>
        <v>16.8</v>
      </c>
      <c r="Q74" s="6" t="n">
        <v>0</v>
      </c>
      <c r="R74" s="5" t="n">
        <f aca="false">ROUND(P74*Q74,2)</f>
        <v>0</v>
      </c>
      <c r="S74" s="5" t="n">
        <f aca="false">P74-R74</f>
        <v>16.8</v>
      </c>
      <c r="T74" s="5" t="n">
        <f aca="false">ROUND(S74*Assumptions!$B$2,2)</f>
        <v>1.01</v>
      </c>
      <c r="U74" s="5" t="n">
        <f aca="false">S74+T74</f>
        <v>17.81</v>
      </c>
      <c r="V74" s="5" t="n">
        <v>12.16</v>
      </c>
      <c r="W74" s="5" t="n">
        <f aca="false">U74+V74</f>
        <v>29.97</v>
      </c>
      <c r="X74" s="2" t="s">
        <v>46</v>
      </c>
      <c r="Y74" s="2"/>
    </row>
    <row r="75" customFormat="false" ht="15" hidden="false" customHeight="false" outlineLevel="0" collapsed="false">
      <c r="A75" s="2" t="s">
        <v>99</v>
      </c>
      <c r="B75" s="2" t="s">
        <v>109</v>
      </c>
      <c r="C75" s="2" t="s">
        <v>110</v>
      </c>
      <c r="D75" s="2" t="s">
        <v>111</v>
      </c>
      <c r="E75" s="3" t="n">
        <v>41256</v>
      </c>
      <c r="F75" s="4" t="n">
        <v>46192</v>
      </c>
      <c r="G75" s="4"/>
      <c r="H75" s="3" t="str">
        <f aca="false">IF(G75="","",G75-F75)</f>
        <v/>
      </c>
      <c r="I75" s="2" t="s">
        <v>103</v>
      </c>
      <c r="J75" s="2" t="s">
        <v>30</v>
      </c>
      <c r="K75" s="2" t="s">
        <v>43</v>
      </c>
      <c r="L75" s="2" t="s">
        <v>44</v>
      </c>
      <c r="M75" s="2" t="s">
        <v>45</v>
      </c>
      <c r="N75" s="3" t="n">
        <v>15</v>
      </c>
      <c r="O75" s="5" t="n">
        <v>13.4</v>
      </c>
      <c r="P75" s="5" t="n">
        <f aca="false">N75*O75</f>
        <v>201</v>
      </c>
      <c r="Q75" s="6" t="n">
        <v>0.1</v>
      </c>
      <c r="R75" s="5" t="n">
        <f aca="false">ROUND(P75*Q75,2)</f>
        <v>20.1</v>
      </c>
      <c r="S75" s="5" t="n">
        <f aca="false">P75-R75</f>
        <v>180.9</v>
      </c>
      <c r="T75" s="5" t="n">
        <f aca="false">ROUND(S75*Assumptions!$B$2,2)</f>
        <v>10.85</v>
      </c>
      <c r="U75" s="5" t="n">
        <f aca="false">S75+T75</f>
        <v>191.75</v>
      </c>
      <c r="V75" s="5" t="n">
        <v>0</v>
      </c>
      <c r="W75" s="5" t="n">
        <f aca="false">U75+V75</f>
        <v>191.75</v>
      </c>
      <c r="X75" s="2" t="s">
        <v>51</v>
      </c>
      <c r="Y75" s="2"/>
    </row>
    <row r="76" customFormat="false" ht="15" hidden="false" customHeight="false" outlineLevel="0" collapsed="false">
      <c r="A76" s="2" t="s">
        <v>99</v>
      </c>
      <c r="B76" s="2" t="s">
        <v>109</v>
      </c>
      <c r="C76" s="2" t="s">
        <v>110</v>
      </c>
      <c r="D76" s="2" t="s">
        <v>111</v>
      </c>
      <c r="E76" s="3" t="n">
        <v>41259</v>
      </c>
      <c r="F76" s="4" t="n">
        <v>46206</v>
      </c>
      <c r="G76" s="4" t="n">
        <v>46213</v>
      </c>
      <c r="H76" s="3" t="n">
        <f aca="false">IF(G76="","",G76-F76)</f>
        <v>7</v>
      </c>
      <c r="I76" s="2" t="s">
        <v>103</v>
      </c>
      <c r="J76" s="2" t="s">
        <v>42</v>
      </c>
      <c r="K76" s="2" t="s">
        <v>31</v>
      </c>
      <c r="L76" s="2" t="s">
        <v>32</v>
      </c>
      <c r="M76" s="2" t="s">
        <v>33</v>
      </c>
      <c r="N76" s="3" t="n">
        <v>12</v>
      </c>
      <c r="O76" s="5" t="n">
        <v>14.25</v>
      </c>
      <c r="P76" s="5" t="n">
        <f aca="false">N76*O76</f>
        <v>171</v>
      </c>
      <c r="Q76" s="6" t="n">
        <v>0</v>
      </c>
      <c r="R76" s="5" t="n">
        <f aca="false">ROUND(P76*Q76,2)</f>
        <v>0</v>
      </c>
      <c r="S76" s="5" t="n">
        <f aca="false">P76-R76</f>
        <v>171</v>
      </c>
      <c r="T76" s="5" t="n">
        <f aca="false">ROUND(S76*Assumptions!$B$2,2)</f>
        <v>10.26</v>
      </c>
      <c r="U76" s="5" t="n">
        <f aca="false">S76+T76</f>
        <v>181.26</v>
      </c>
      <c r="V76" s="5" t="n">
        <v>17.37</v>
      </c>
      <c r="W76" s="5" t="n">
        <f aca="false">U76+V76</f>
        <v>198.63</v>
      </c>
      <c r="X76" s="2" t="s">
        <v>34</v>
      </c>
      <c r="Y76" s="2"/>
    </row>
    <row r="77" customFormat="false" ht="15" hidden="false" customHeight="false" outlineLevel="0" collapsed="false">
      <c r="A77" s="2" t="s">
        <v>99</v>
      </c>
      <c r="B77" s="2" t="s">
        <v>109</v>
      </c>
      <c r="C77" s="2" t="s">
        <v>110</v>
      </c>
      <c r="D77" s="2" t="s">
        <v>111</v>
      </c>
      <c r="E77" s="3" t="n">
        <v>41260</v>
      </c>
      <c r="F77" s="4" t="n">
        <v>46130</v>
      </c>
      <c r="G77" s="4" t="n">
        <v>46133</v>
      </c>
      <c r="H77" s="3" t="n">
        <f aca="false">IF(G77="","",G77-F77)</f>
        <v>3</v>
      </c>
      <c r="I77" s="2" t="s">
        <v>104</v>
      </c>
      <c r="J77" s="2" t="s">
        <v>35</v>
      </c>
      <c r="K77" s="2" t="s">
        <v>48</v>
      </c>
      <c r="L77" s="2" t="s">
        <v>54</v>
      </c>
      <c r="M77" s="2" t="s">
        <v>55</v>
      </c>
      <c r="N77" s="3" t="n">
        <v>12</v>
      </c>
      <c r="O77" s="5" t="n">
        <v>22.75</v>
      </c>
      <c r="P77" s="5" t="n">
        <f aca="false">N77*O77</f>
        <v>273</v>
      </c>
      <c r="Q77" s="6" t="n">
        <v>0.15</v>
      </c>
      <c r="R77" s="5" t="n">
        <f aca="false">ROUND(P77*Q77,2)</f>
        <v>40.95</v>
      </c>
      <c r="S77" s="5" t="n">
        <f aca="false">P77-R77</f>
        <v>232.05</v>
      </c>
      <c r="T77" s="5" t="n">
        <f aca="false">ROUND(S77*Assumptions!$B$2,2)</f>
        <v>13.92</v>
      </c>
      <c r="U77" s="5" t="n">
        <f aca="false">S77+T77</f>
        <v>245.97</v>
      </c>
      <c r="V77" s="5" t="n">
        <v>10.8</v>
      </c>
      <c r="W77" s="5" t="n">
        <f aca="false">U77+V77</f>
        <v>256.77</v>
      </c>
      <c r="X77" s="2" t="s">
        <v>34</v>
      </c>
      <c r="Y77" s="2" t="s">
        <v>67</v>
      </c>
    </row>
    <row r="78" customFormat="false" ht="15" hidden="false" customHeight="false" outlineLevel="0" collapsed="false">
      <c r="A78" s="2" t="s">
        <v>99</v>
      </c>
      <c r="B78" s="2" t="s">
        <v>109</v>
      </c>
      <c r="C78" s="2" t="s">
        <v>110</v>
      </c>
      <c r="D78" s="2" t="s">
        <v>111</v>
      </c>
      <c r="E78" s="3" t="n">
        <v>41267</v>
      </c>
      <c r="F78" s="4" t="n">
        <v>46073</v>
      </c>
      <c r="G78" s="4" t="n">
        <v>46080</v>
      </c>
      <c r="H78" s="3" t="n">
        <f aca="false">IF(G78="","",G78-F78)</f>
        <v>7</v>
      </c>
      <c r="I78" s="2" t="s">
        <v>103</v>
      </c>
      <c r="J78" s="2" t="s">
        <v>42</v>
      </c>
      <c r="K78" s="2" t="s">
        <v>36</v>
      </c>
      <c r="L78" s="2" t="s">
        <v>37</v>
      </c>
      <c r="M78" s="2" t="s">
        <v>38</v>
      </c>
      <c r="N78" s="3" t="n">
        <v>1</v>
      </c>
      <c r="O78" s="5" t="n">
        <v>27.6</v>
      </c>
      <c r="P78" s="5" t="n">
        <f aca="false">N78*O78</f>
        <v>27.6</v>
      </c>
      <c r="Q78" s="6" t="n">
        <v>0</v>
      </c>
      <c r="R78" s="5" t="n">
        <f aca="false">ROUND(P78*Q78,2)</f>
        <v>0</v>
      </c>
      <c r="S78" s="5" t="n">
        <f aca="false">P78-R78</f>
        <v>27.6</v>
      </c>
      <c r="T78" s="5" t="n">
        <f aca="false">ROUND(S78*Assumptions!$B$2,2)</f>
        <v>1.66</v>
      </c>
      <c r="U78" s="5" t="n">
        <f aca="false">S78+T78</f>
        <v>29.26</v>
      </c>
      <c r="V78" s="5" t="n">
        <v>5.98</v>
      </c>
      <c r="W78" s="5" t="n">
        <f aca="false">U78+V78</f>
        <v>35.24</v>
      </c>
      <c r="X78" s="2" t="s">
        <v>46</v>
      </c>
      <c r="Y78" s="2" t="s">
        <v>52</v>
      </c>
    </row>
    <row r="79" customFormat="false" ht="15" hidden="false" customHeight="false" outlineLevel="0" collapsed="false">
      <c r="A79" s="2" t="s">
        <v>99</v>
      </c>
      <c r="B79" s="2" t="s">
        <v>109</v>
      </c>
      <c r="C79" s="2" t="s">
        <v>110</v>
      </c>
      <c r="D79" s="2" t="s">
        <v>112</v>
      </c>
      <c r="E79" s="3" t="n">
        <v>41273</v>
      </c>
      <c r="F79" s="4" t="n">
        <v>46192</v>
      </c>
      <c r="G79" s="4"/>
      <c r="H79" s="3" t="str">
        <f aca="false">IF(G79="","",G79-F79)</f>
        <v/>
      </c>
      <c r="I79" s="2" t="s">
        <v>103</v>
      </c>
      <c r="J79" s="2" t="s">
        <v>30</v>
      </c>
      <c r="K79" s="2" t="s">
        <v>36</v>
      </c>
      <c r="L79" s="2" t="s">
        <v>93</v>
      </c>
      <c r="M79" s="2" t="s">
        <v>94</v>
      </c>
      <c r="N79" s="3" t="n">
        <v>4</v>
      </c>
      <c r="O79" s="5" t="n">
        <v>16.8</v>
      </c>
      <c r="P79" s="5" t="n">
        <f aca="false">N79*O79</f>
        <v>67.2</v>
      </c>
      <c r="Q79" s="6" t="n">
        <v>0.1</v>
      </c>
      <c r="R79" s="5" t="n">
        <f aca="false">ROUND(P79*Q79,2)</f>
        <v>6.72</v>
      </c>
      <c r="S79" s="5" t="n">
        <f aca="false">P79-R79</f>
        <v>60.48</v>
      </c>
      <c r="T79" s="5" t="n">
        <f aca="false">ROUND(S79*Assumptions!$B$2,2)</f>
        <v>3.63</v>
      </c>
      <c r="U79" s="5" t="n">
        <f aca="false">S79+T79</f>
        <v>64.11</v>
      </c>
      <c r="V79" s="5" t="n">
        <v>0.65</v>
      </c>
      <c r="W79" s="5" t="n">
        <f aca="false">U79+V79</f>
        <v>64.76</v>
      </c>
      <c r="X79" s="2" t="s">
        <v>39</v>
      </c>
      <c r="Y79" s="2" t="s">
        <v>47</v>
      </c>
    </row>
    <row r="80" customFormat="false" ht="15" hidden="false" customHeight="false" outlineLevel="0" collapsed="false">
      <c r="A80" s="2" t="s">
        <v>99</v>
      </c>
      <c r="B80" s="2" t="s">
        <v>109</v>
      </c>
      <c r="C80" s="2" t="s">
        <v>110</v>
      </c>
      <c r="D80" s="2" t="s">
        <v>112</v>
      </c>
      <c r="E80" s="3" t="n">
        <v>41276</v>
      </c>
      <c r="F80" s="4" t="n">
        <v>46100</v>
      </c>
      <c r="G80" s="4" t="n">
        <v>46106</v>
      </c>
      <c r="H80" s="3" t="n">
        <f aca="false">IF(G80="","",G80-F80)</f>
        <v>6</v>
      </c>
      <c r="I80" s="2" t="s">
        <v>104</v>
      </c>
      <c r="J80" s="2" t="s">
        <v>30</v>
      </c>
      <c r="K80" s="2" t="s">
        <v>43</v>
      </c>
      <c r="L80" s="2" t="s">
        <v>44</v>
      </c>
      <c r="M80" s="2" t="s">
        <v>45</v>
      </c>
      <c r="N80" s="3" t="n">
        <v>40</v>
      </c>
      <c r="O80" s="5" t="n">
        <v>13.4</v>
      </c>
      <c r="P80" s="5" t="n">
        <f aca="false">N80*O80</f>
        <v>536</v>
      </c>
      <c r="Q80" s="6" t="n">
        <v>0.15</v>
      </c>
      <c r="R80" s="5" t="n">
        <f aca="false">ROUND(P80*Q80,2)</f>
        <v>80.4</v>
      </c>
      <c r="S80" s="5" t="n">
        <f aca="false">P80-R80</f>
        <v>455.6</v>
      </c>
      <c r="T80" s="5" t="n">
        <f aca="false">ROUND(S80*Assumptions!$B$2,2)</f>
        <v>27.34</v>
      </c>
      <c r="U80" s="5" t="n">
        <f aca="false">S80+T80</f>
        <v>482.94</v>
      </c>
      <c r="V80" s="5" t="n">
        <v>37.98</v>
      </c>
      <c r="W80" s="5" t="n">
        <f aca="false">U80+V80</f>
        <v>520.92</v>
      </c>
      <c r="X80" s="2" t="s">
        <v>34</v>
      </c>
      <c r="Y80" s="2" t="s">
        <v>58</v>
      </c>
    </row>
    <row r="81" customFormat="false" ht="15" hidden="false" customHeight="false" outlineLevel="0" collapsed="false">
      <c r="A81" s="2" t="s">
        <v>99</v>
      </c>
      <c r="B81" s="2" t="s">
        <v>109</v>
      </c>
      <c r="C81" s="2" t="s">
        <v>110</v>
      </c>
      <c r="D81" s="2" t="s">
        <v>112</v>
      </c>
      <c r="E81" s="3" t="n">
        <v>41277</v>
      </c>
      <c r="F81" s="4" t="n">
        <v>46085</v>
      </c>
      <c r="G81" s="4" t="n">
        <v>46087</v>
      </c>
      <c r="H81" s="3" t="n">
        <f aca="false">IF(G81="","",G81-F81)</f>
        <v>2</v>
      </c>
      <c r="I81" s="2" t="s">
        <v>104</v>
      </c>
      <c r="J81" s="2" t="s">
        <v>35</v>
      </c>
      <c r="K81" s="2" t="s">
        <v>31</v>
      </c>
      <c r="L81" s="2" t="s">
        <v>71</v>
      </c>
      <c r="M81" s="2" t="s">
        <v>72</v>
      </c>
      <c r="N81" s="3" t="n">
        <v>30</v>
      </c>
      <c r="O81" s="5" t="n">
        <v>34.99</v>
      </c>
      <c r="P81" s="5" t="n">
        <f aca="false">N81*O81</f>
        <v>1049.7</v>
      </c>
      <c r="Q81" s="6" t="n">
        <v>0.1</v>
      </c>
      <c r="R81" s="5" t="n">
        <f aca="false">ROUND(P81*Q81,2)</f>
        <v>104.97</v>
      </c>
      <c r="S81" s="5" t="n">
        <f aca="false">P81-R81</f>
        <v>944.73</v>
      </c>
      <c r="T81" s="5" t="n">
        <f aca="false">ROUND(S81*Assumptions!$B$2,2)</f>
        <v>56.68</v>
      </c>
      <c r="U81" s="5" t="n">
        <f aca="false">S81+T81</f>
        <v>1001.41</v>
      </c>
      <c r="V81" s="5" t="n">
        <v>4.37</v>
      </c>
      <c r="W81" s="5" t="n">
        <f aca="false">U81+V81</f>
        <v>1005.78</v>
      </c>
      <c r="X81" s="2" t="s">
        <v>46</v>
      </c>
      <c r="Y81" s="2" t="s">
        <v>52</v>
      </c>
    </row>
    <row r="82" customFormat="false" ht="15" hidden="false" customHeight="false" outlineLevel="0" collapsed="false">
      <c r="A82" s="2" t="s">
        <v>99</v>
      </c>
      <c r="B82" s="2" t="s">
        <v>109</v>
      </c>
      <c r="C82" s="2" t="s">
        <v>110</v>
      </c>
      <c r="D82" s="2" t="s">
        <v>112</v>
      </c>
      <c r="E82" s="3" t="n">
        <v>41279</v>
      </c>
      <c r="F82" s="4" t="n">
        <v>46144</v>
      </c>
      <c r="G82" s="4"/>
      <c r="H82" s="3" t="str">
        <f aca="false">IF(G82="","",G82-F82)</f>
        <v/>
      </c>
      <c r="I82" s="2" t="s">
        <v>104</v>
      </c>
      <c r="J82" s="2" t="s">
        <v>35</v>
      </c>
      <c r="K82" s="2" t="s">
        <v>36</v>
      </c>
      <c r="L82" s="2" t="s">
        <v>93</v>
      </c>
      <c r="M82" s="2" t="s">
        <v>94</v>
      </c>
      <c r="N82" s="3" t="n">
        <v>6</v>
      </c>
      <c r="O82" s="5" t="n">
        <v>16.8</v>
      </c>
      <c r="P82" s="5" t="n">
        <f aca="false">N82*O82</f>
        <v>100.8</v>
      </c>
      <c r="Q82" s="6" t="n">
        <v>0.05</v>
      </c>
      <c r="R82" s="5" t="n">
        <f aca="false">ROUND(P82*Q82,2)</f>
        <v>5.04</v>
      </c>
      <c r="S82" s="5" t="n">
        <f aca="false">P82-R82</f>
        <v>95.76</v>
      </c>
      <c r="T82" s="5" t="n">
        <f aca="false">ROUND(S82*Assumptions!$B$2,2)</f>
        <v>5.75</v>
      </c>
      <c r="U82" s="5" t="n">
        <f aca="false">S82+T82</f>
        <v>101.51</v>
      </c>
      <c r="V82" s="5" t="n">
        <v>3.17</v>
      </c>
      <c r="W82" s="5" t="n">
        <f aca="false">U82+V82</f>
        <v>104.68</v>
      </c>
      <c r="X82" s="2" t="s">
        <v>39</v>
      </c>
      <c r="Y82" s="2" t="s">
        <v>64</v>
      </c>
    </row>
    <row r="83" customFormat="false" ht="15" hidden="false" customHeight="false" outlineLevel="0" collapsed="false">
      <c r="A83" s="2" t="s">
        <v>99</v>
      </c>
      <c r="B83" s="2" t="s">
        <v>109</v>
      </c>
      <c r="C83" s="2" t="s">
        <v>110</v>
      </c>
      <c r="D83" s="2" t="s">
        <v>113</v>
      </c>
      <c r="E83" s="3" t="n">
        <v>41283</v>
      </c>
      <c r="F83" s="4" t="n">
        <v>46261</v>
      </c>
      <c r="G83" s="4" t="n">
        <v>46263</v>
      </c>
      <c r="H83" s="3" t="n">
        <f aca="false">IF(G83="","",G83-F83)</f>
        <v>2</v>
      </c>
      <c r="I83" s="2" t="s">
        <v>103</v>
      </c>
      <c r="J83" s="2" t="s">
        <v>30</v>
      </c>
      <c r="K83" s="2" t="s">
        <v>48</v>
      </c>
      <c r="L83" s="2" t="s">
        <v>54</v>
      </c>
      <c r="M83" s="2" t="s">
        <v>55</v>
      </c>
      <c r="N83" s="3" t="n">
        <v>24</v>
      </c>
      <c r="O83" s="5" t="n">
        <v>22.75</v>
      </c>
      <c r="P83" s="5" t="n">
        <f aca="false">N83*O83</f>
        <v>546</v>
      </c>
      <c r="Q83" s="6" t="n">
        <v>0</v>
      </c>
      <c r="R83" s="5" t="n">
        <f aca="false">ROUND(P83*Q83,2)</f>
        <v>0</v>
      </c>
      <c r="S83" s="5" t="n">
        <f aca="false">P83-R83</f>
        <v>546</v>
      </c>
      <c r="T83" s="5" t="n">
        <f aca="false">ROUND(S83*Assumptions!$B$2,2)</f>
        <v>32.76</v>
      </c>
      <c r="U83" s="5" t="n">
        <f aca="false">S83+T83</f>
        <v>578.76</v>
      </c>
      <c r="V83" s="5" t="n">
        <v>17.99</v>
      </c>
      <c r="W83" s="5" t="n">
        <f aca="false">U83+V83</f>
        <v>596.75</v>
      </c>
      <c r="X83" s="2" t="s">
        <v>34</v>
      </c>
      <c r="Y83" s="2" t="s">
        <v>64</v>
      </c>
    </row>
    <row r="84" customFormat="false" ht="15" hidden="false" customHeight="false" outlineLevel="0" collapsed="false">
      <c r="A84" s="2" t="s">
        <v>99</v>
      </c>
      <c r="B84" s="2" t="s">
        <v>109</v>
      </c>
      <c r="C84" s="2" t="s">
        <v>110</v>
      </c>
      <c r="D84" s="2" t="s">
        <v>113</v>
      </c>
      <c r="E84" s="3" t="n">
        <v>41285</v>
      </c>
      <c r="F84" s="4" t="n">
        <v>46033</v>
      </c>
      <c r="G84" s="4" t="n">
        <v>46039</v>
      </c>
      <c r="H84" s="3" t="n">
        <f aca="false">IF(G84="","",G84-F84)</f>
        <v>6</v>
      </c>
      <c r="I84" s="2" t="s">
        <v>103</v>
      </c>
      <c r="J84" s="2" t="s">
        <v>30</v>
      </c>
      <c r="K84" s="2" t="s">
        <v>59</v>
      </c>
      <c r="L84" s="2" t="s">
        <v>82</v>
      </c>
      <c r="M84" s="2" t="s">
        <v>83</v>
      </c>
      <c r="N84" s="3" t="n">
        <v>4</v>
      </c>
      <c r="O84" s="5" t="n">
        <v>99</v>
      </c>
      <c r="P84" s="5" t="n">
        <f aca="false">N84*O84</f>
        <v>396</v>
      </c>
      <c r="Q84" s="6" t="n">
        <v>0.05</v>
      </c>
      <c r="R84" s="5" t="n">
        <f aca="false">ROUND(P84*Q84,2)</f>
        <v>19.8</v>
      </c>
      <c r="S84" s="5" t="n">
        <f aca="false">P84-R84</f>
        <v>376.2</v>
      </c>
      <c r="T84" s="5" t="n">
        <f aca="false">ROUND(S84*Assumptions!$B$2,2)</f>
        <v>22.57</v>
      </c>
      <c r="U84" s="5" t="n">
        <f aca="false">S84+T84</f>
        <v>398.77</v>
      </c>
      <c r="V84" s="5" t="n">
        <v>4.5</v>
      </c>
      <c r="W84" s="5" t="n">
        <f aca="false">U84+V84</f>
        <v>403.27</v>
      </c>
      <c r="X84" s="2" t="s">
        <v>34</v>
      </c>
      <c r="Y84" s="2"/>
    </row>
    <row r="85" customFormat="false" ht="15" hidden="false" customHeight="false" outlineLevel="0" collapsed="false">
      <c r="A85" s="2" t="s">
        <v>99</v>
      </c>
      <c r="B85" s="2" t="s">
        <v>109</v>
      </c>
      <c r="C85" s="2" t="s">
        <v>110</v>
      </c>
      <c r="D85" s="2" t="s">
        <v>113</v>
      </c>
      <c r="E85" s="3" t="n">
        <v>41289</v>
      </c>
      <c r="F85" s="4" t="n">
        <v>46185</v>
      </c>
      <c r="G85" s="4"/>
      <c r="H85" s="3" t="str">
        <f aca="false">IF(G85="","",G85-F85)</f>
        <v/>
      </c>
      <c r="I85" s="2" t="s">
        <v>104</v>
      </c>
      <c r="J85" s="2" t="s">
        <v>35</v>
      </c>
      <c r="K85" s="2" t="s">
        <v>36</v>
      </c>
      <c r="L85" s="2" t="s">
        <v>86</v>
      </c>
      <c r="M85" s="2" t="s">
        <v>87</v>
      </c>
      <c r="N85" s="3" t="n">
        <v>1</v>
      </c>
      <c r="O85" s="5" t="n">
        <v>21.95</v>
      </c>
      <c r="P85" s="5" t="n">
        <f aca="false">N85*O85</f>
        <v>21.95</v>
      </c>
      <c r="Q85" s="6" t="n">
        <v>0.15</v>
      </c>
      <c r="R85" s="5" t="n">
        <f aca="false">ROUND(P85*Q85,2)</f>
        <v>3.29</v>
      </c>
      <c r="S85" s="5" t="n">
        <f aca="false">P85-R85</f>
        <v>18.66</v>
      </c>
      <c r="T85" s="5" t="n">
        <f aca="false">ROUND(S85*Assumptions!$B$2,2)</f>
        <v>1.12</v>
      </c>
      <c r="U85" s="5" t="n">
        <f aca="false">S85+T85</f>
        <v>19.78</v>
      </c>
      <c r="V85" s="5" t="n">
        <v>38.51</v>
      </c>
      <c r="W85" s="5" t="n">
        <f aca="false">U85+V85</f>
        <v>58.29</v>
      </c>
      <c r="X85" s="2" t="s">
        <v>39</v>
      </c>
      <c r="Y85" s="2"/>
    </row>
    <row r="86" customFormat="false" ht="15" hidden="false" customHeight="false" outlineLevel="0" collapsed="false">
      <c r="A86" s="2" t="s">
        <v>99</v>
      </c>
      <c r="B86" s="2" t="s">
        <v>109</v>
      </c>
      <c r="C86" s="2" t="s">
        <v>110</v>
      </c>
      <c r="D86" s="2" t="s">
        <v>113</v>
      </c>
      <c r="E86" s="3" t="n">
        <v>41292</v>
      </c>
      <c r="F86" s="4" t="n">
        <v>46095</v>
      </c>
      <c r="G86" s="4" t="n">
        <v>46096</v>
      </c>
      <c r="H86" s="3" t="n">
        <f aca="false">IF(G86="","",G86-F86)</f>
        <v>1</v>
      </c>
      <c r="I86" s="2" t="s">
        <v>103</v>
      </c>
      <c r="J86" s="2" t="s">
        <v>35</v>
      </c>
      <c r="K86" s="2" t="s">
        <v>43</v>
      </c>
      <c r="L86" s="2" t="s">
        <v>68</v>
      </c>
      <c r="M86" s="2" t="s">
        <v>69</v>
      </c>
      <c r="N86" s="3" t="n">
        <v>5</v>
      </c>
      <c r="O86" s="5" t="n">
        <v>118</v>
      </c>
      <c r="P86" s="5" t="n">
        <f aca="false">N86*O86</f>
        <v>590</v>
      </c>
      <c r="Q86" s="6" t="n">
        <v>0</v>
      </c>
      <c r="R86" s="5" t="n">
        <f aca="false">ROUND(P86*Q86,2)</f>
        <v>0</v>
      </c>
      <c r="S86" s="5" t="n">
        <f aca="false">P86-R86</f>
        <v>590</v>
      </c>
      <c r="T86" s="5" t="n">
        <f aca="false">ROUND(S86*Assumptions!$B$2,2)</f>
        <v>35.4</v>
      </c>
      <c r="U86" s="5" t="n">
        <f aca="false">S86+T86</f>
        <v>625.4</v>
      </c>
      <c r="V86" s="5" t="n">
        <v>29.39</v>
      </c>
      <c r="W86" s="5" t="n">
        <f aca="false">U86+V86</f>
        <v>654.79</v>
      </c>
      <c r="X86" s="2" t="s">
        <v>46</v>
      </c>
      <c r="Y86" s="2" t="s">
        <v>73</v>
      </c>
    </row>
    <row r="87" customFormat="false" ht="15" hidden="false" customHeight="false" outlineLevel="0" collapsed="false">
      <c r="A87" s="2" t="s">
        <v>99</v>
      </c>
      <c r="B87" s="2" t="s">
        <v>109</v>
      </c>
      <c r="C87" s="2" t="s">
        <v>110</v>
      </c>
      <c r="D87" s="2" t="s">
        <v>113</v>
      </c>
      <c r="E87" s="3" t="n">
        <v>41296</v>
      </c>
      <c r="F87" s="4" t="n">
        <v>46229</v>
      </c>
      <c r="G87" s="4"/>
      <c r="H87" s="3" t="str">
        <f aca="false">IF(G87="","",G87-F87)</f>
        <v/>
      </c>
      <c r="I87" s="2" t="s">
        <v>104</v>
      </c>
      <c r="J87" s="2" t="s">
        <v>35</v>
      </c>
      <c r="K87" s="2" t="s">
        <v>48</v>
      </c>
      <c r="L87" s="2" t="s">
        <v>49</v>
      </c>
      <c r="M87" s="2" t="s">
        <v>50</v>
      </c>
      <c r="N87" s="3" t="n">
        <v>50</v>
      </c>
      <c r="O87" s="5" t="n">
        <v>31.9</v>
      </c>
      <c r="P87" s="5" t="n">
        <f aca="false">N87*O87</f>
        <v>1595</v>
      </c>
      <c r="Q87" s="6" t="n">
        <v>0</v>
      </c>
      <c r="R87" s="5" t="n">
        <f aca="false">ROUND(P87*Q87,2)</f>
        <v>0</v>
      </c>
      <c r="S87" s="5" t="n">
        <f aca="false">P87-R87</f>
        <v>1595</v>
      </c>
      <c r="T87" s="5" t="n">
        <f aca="false">ROUND(S87*Assumptions!$B$2,2)</f>
        <v>95.7</v>
      </c>
      <c r="U87" s="5" t="n">
        <f aca="false">S87+T87</f>
        <v>1690.7</v>
      </c>
      <c r="V87" s="5" t="n">
        <v>0</v>
      </c>
      <c r="W87" s="5" t="n">
        <f aca="false">U87+V87</f>
        <v>1690.7</v>
      </c>
      <c r="X87" s="2" t="s">
        <v>51</v>
      </c>
      <c r="Y87" s="2"/>
    </row>
    <row r="88" customFormat="false" ht="15" hidden="false" customHeight="false" outlineLevel="0" collapsed="false">
      <c r="A88" s="2" t="s">
        <v>99</v>
      </c>
      <c r="B88" s="2" t="s">
        <v>114</v>
      </c>
      <c r="C88" s="2" t="s">
        <v>115</v>
      </c>
      <c r="D88" s="2" t="s">
        <v>116</v>
      </c>
      <c r="E88" s="3" t="n">
        <v>41302</v>
      </c>
      <c r="F88" s="4" t="n">
        <v>46031</v>
      </c>
      <c r="G88" s="4"/>
      <c r="H88" s="3" t="str">
        <f aca="false">IF(G88="","",G88-F88)</f>
        <v/>
      </c>
      <c r="I88" s="2" t="s">
        <v>104</v>
      </c>
      <c r="J88" s="2" t="s">
        <v>42</v>
      </c>
      <c r="K88" s="2" t="s">
        <v>36</v>
      </c>
      <c r="L88" s="2" t="s">
        <v>37</v>
      </c>
      <c r="M88" s="2" t="s">
        <v>38</v>
      </c>
      <c r="N88" s="3" t="n">
        <v>25</v>
      </c>
      <c r="O88" s="5" t="n">
        <v>27.6</v>
      </c>
      <c r="P88" s="5" t="n">
        <f aca="false">N88*O88</f>
        <v>690</v>
      </c>
      <c r="Q88" s="6" t="n">
        <v>0.15</v>
      </c>
      <c r="R88" s="5" t="n">
        <f aca="false">ROUND(P88*Q88,2)</f>
        <v>103.5</v>
      </c>
      <c r="S88" s="5" t="n">
        <f aca="false">P88-R88</f>
        <v>586.5</v>
      </c>
      <c r="T88" s="5" t="n">
        <f aca="false">ROUND(S88*Assumptions!$B$2,2)</f>
        <v>35.19</v>
      </c>
      <c r="U88" s="5" t="n">
        <f aca="false">S88+T88</f>
        <v>621.69</v>
      </c>
      <c r="V88" s="5" t="n">
        <v>2.6</v>
      </c>
      <c r="W88" s="5" t="n">
        <f aca="false">U88+V88</f>
        <v>624.29</v>
      </c>
      <c r="X88" s="2" t="s">
        <v>39</v>
      </c>
      <c r="Y88" s="2" t="s">
        <v>73</v>
      </c>
    </row>
    <row r="89" customFormat="false" ht="15" hidden="false" customHeight="false" outlineLevel="0" collapsed="false">
      <c r="A89" s="2" t="s">
        <v>99</v>
      </c>
      <c r="B89" s="2" t="s">
        <v>114</v>
      </c>
      <c r="C89" s="2" t="s">
        <v>115</v>
      </c>
      <c r="D89" s="2" t="s">
        <v>116</v>
      </c>
      <c r="E89" s="3" t="n">
        <v>41304</v>
      </c>
      <c r="F89" s="4" t="n">
        <v>46030</v>
      </c>
      <c r="G89" s="4"/>
      <c r="H89" s="3" t="str">
        <f aca="false">IF(G89="","",G89-F89)</f>
        <v/>
      </c>
      <c r="I89" s="2" t="s">
        <v>104</v>
      </c>
      <c r="J89" s="2" t="s">
        <v>30</v>
      </c>
      <c r="K89" s="2" t="s">
        <v>31</v>
      </c>
      <c r="L89" s="2" t="s">
        <v>71</v>
      </c>
      <c r="M89" s="2" t="s">
        <v>72</v>
      </c>
      <c r="N89" s="3" t="n">
        <v>50</v>
      </c>
      <c r="O89" s="5" t="n">
        <v>34.99</v>
      </c>
      <c r="P89" s="5" t="n">
        <f aca="false">N89*O89</f>
        <v>1749.5</v>
      </c>
      <c r="Q89" s="6" t="n">
        <v>0</v>
      </c>
      <c r="R89" s="5" t="n">
        <f aca="false">ROUND(P89*Q89,2)</f>
        <v>0</v>
      </c>
      <c r="S89" s="5" t="n">
        <f aca="false">P89-R89</f>
        <v>1749.5</v>
      </c>
      <c r="T89" s="5" t="n">
        <f aca="false">ROUND(S89*Assumptions!$B$2,2)</f>
        <v>104.97</v>
      </c>
      <c r="U89" s="5" t="n">
        <f aca="false">S89+T89</f>
        <v>1854.47</v>
      </c>
      <c r="V89" s="5" t="n">
        <v>8.52</v>
      </c>
      <c r="W89" s="5" t="n">
        <f aca="false">U89+V89</f>
        <v>1862.99</v>
      </c>
      <c r="X89" s="2" t="s">
        <v>39</v>
      </c>
      <c r="Y89" s="2" t="s">
        <v>58</v>
      </c>
    </row>
    <row r="90" customFormat="false" ht="15" hidden="false" customHeight="false" outlineLevel="0" collapsed="false">
      <c r="A90" s="2" t="s">
        <v>99</v>
      </c>
      <c r="B90" s="2" t="s">
        <v>114</v>
      </c>
      <c r="C90" s="2" t="s">
        <v>115</v>
      </c>
      <c r="D90" s="2" t="s">
        <v>105</v>
      </c>
      <c r="E90" s="3" t="n">
        <v>41305</v>
      </c>
      <c r="F90" s="4" t="n">
        <v>46222</v>
      </c>
      <c r="G90" s="4" t="n">
        <v>46226</v>
      </c>
      <c r="H90" s="3" t="n">
        <f aca="false">IF(G90="","",G90-F90)</f>
        <v>4</v>
      </c>
      <c r="I90" s="2" t="s">
        <v>103</v>
      </c>
      <c r="J90" s="2" t="s">
        <v>42</v>
      </c>
      <c r="K90" s="2" t="s">
        <v>36</v>
      </c>
      <c r="L90" s="2" t="s">
        <v>37</v>
      </c>
      <c r="M90" s="2" t="s">
        <v>38</v>
      </c>
      <c r="N90" s="3" t="n">
        <v>24</v>
      </c>
      <c r="O90" s="5" t="n">
        <v>27.6</v>
      </c>
      <c r="P90" s="5" t="n">
        <f aca="false">N90*O90</f>
        <v>662.4</v>
      </c>
      <c r="Q90" s="6" t="n">
        <v>0.05</v>
      </c>
      <c r="R90" s="5" t="n">
        <f aca="false">ROUND(P90*Q90,2)</f>
        <v>33.12</v>
      </c>
      <c r="S90" s="5" t="n">
        <f aca="false">P90-R90</f>
        <v>629.28</v>
      </c>
      <c r="T90" s="5" t="n">
        <f aca="false">ROUND(S90*Assumptions!$B$2,2)</f>
        <v>37.76</v>
      </c>
      <c r="U90" s="5" t="n">
        <f aca="false">S90+T90</f>
        <v>667.04</v>
      </c>
      <c r="V90" s="5" t="n">
        <v>43.49</v>
      </c>
      <c r="W90" s="5" t="n">
        <f aca="false">U90+V90</f>
        <v>710.53</v>
      </c>
      <c r="X90" s="2" t="s">
        <v>46</v>
      </c>
      <c r="Y90" s="2" t="s">
        <v>58</v>
      </c>
    </row>
    <row r="91" customFormat="false" ht="15" hidden="false" customHeight="false" outlineLevel="0" collapsed="false">
      <c r="A91" s="2" t="s">
        <v>99</v>
      </c>
      <c r="B91" s="2" t="s">
        <v>114</v>
      </c>
      <c r="C91" s="2" t="s">
        <v>115</v>
      </c>
      <c r="D91" s="2" t="s">
        <v>105</v>
      </c>
      <c r="E91" s="3" t="n">
        <v>41312</v>
      </c>
      <c r="F91" s="4" t="n">
        <v>46081</v>
      </c>
      <c r="G91" s="4" t="n">
        <v>46083</v>
      </c>
      <c r="H91" s="3" t="n">
        <f aca="false">IF(G91="","",G91-F91)</f>
        <v>2</v>
      </c>
      <c r="I91" s="2" t="s">
        <v>103</v>
      </c>
      <c r="J91" s="2" t="s">
        <v>35</v>
      </c>
      <c r="K91" s="2" t="s">
        <v>31</v>
      </c>
      <c r="L91" s="2" t="s">
        <v>62</v>
      </c>
      <c r="M91" s="2" t="s">
        <v>63</v>
      </c>
      <c r="N91" s="3" t="n">
        <v>1</v>
      </c>
      <c r="O91" s="5" t="n">
        <v>19.5</v>
      </c>
      <c r="P91" s="5" t="n">
        <f aca="false">N91*O91</f>
        <v>19.5</v>
      </c>
      <c r="Q91" s="6" t="n">
        <v>0</v>
      </c>
      <c r="R91" s="5" t="n">
        <f aca="false">ROUND(P91*Q91,2)</f>
        <v>0</v>
      </c>
      <c r="S91" s="5" t="n">
        <f aca="false">P91-R91</f>
        <v>19.5</v>
      </c>
      <c r="T91" s="5" t="n">
        <f aca="false">ROUND(S91*Assumptions!$B$2,2)</f>
        <v>1.17</v>
      </c>
      <c r="U91" s="5" t="n">
        <f aca="false">S91+T91</f>
        <v>20.67</v>
      </c>
      <c r="V91" s="5" t="n">
        <v>39.88</v>
      </c>
      <c r="W91" s="5" t="n">
        <f aca="false">U91+V91</f>
        <v>60.55</v>
      </c>
      <c r="X91" s="2" t="s">
        <v>34</v>
      </c>
      <c r="Y91" s="2" t="s">
        <v>84</v>
      </c>
    </row>
    <row r="92" customFormat="false" ht="15" hidden="false" customHeight="false" outlineLevel="0" collapsed="false">
      <c r="A92" s="2" t="s">
        <v>99</v>
      </c>
      <c r="B92" s="2" t="s">
        <v>114</v>
      </c>
      <c r="C92" s="2" t="s">
        <v>117</v>
      </c>
      <c r="D92" s="2" t="s">
        <v>118</v>
      </c>
      <c r="E92" s="3" t="n">
        <v>41313</v>
      </c>
      <c r="F92" s="4" t="n">
        <v>46166</v>
      </c>
      <c r="G92" s="4"/>
      <c r="H92" s="3" t="str">
        <f aca="false">IF(G92="","",G92-F92)</f>
        <v/>
      </c>
      <c r="I92" s="2" t="s">
        <v>103</v>
      </c>
      <c r="J92" s="2" t="s">
        <v>30</v>
      </c>
      <c r="K92" s="2" t="s">
        <v>48</v>
      </c>
      <c r="L92" s="2" t="s">
        <v>77</v>
      </c>
      <c r="M92" s="2" t="s">
        <v>78</v>
      </c>
      <c r="N92" s="3" t="n">
        <v>4</v>
      </c>
      <c r="O92" s="5" t="n">
        <v>18.4</v>
      </c>
      <c r="P92" s="5" t="n">
        <f aca="false">N92*O92</f>
        <v>73.6</v>
      </c>
      <c r="Q92" s="6" t="n">
        <v>0</v>
      </c>
      <c r="R92" s="5" t="n">
        <f aca="false">ROUND(P92*Q92,2)</f>
        <v>0</v>
      </c>
      <c r="S92" s="5" t="n">
        <f aca="false">P92-R92</f>
        <v>73.6</v>
      </c>
      <c r="T92" s="5" t="n">
        <f aca="false">ROUND(S92*Assumptions!$B$2,2)</f>
        <v>4.42</v>
      </c>
      <c r="U92" s="5" t="n">
        <f aca="false">S92+T92</f>
        <v>78.02</v>
      </c>
      <c r="V92" s="5" t="n">
        <v>0</v>
      </c>
      <c r="W92" s="5" t="n">
        <f aca="false">U92+V92</f>
        <v>78.02</v>
      </c>
      <c r="X92" s="2" t="s">
        <v>51</v>
      </c>
      <c r="Y92" s="2" t="s">
        <v>47</v>
      </c>
    </row>
    <row r="93" customFormat="false" ht="15" hidden="false" customHeight="false" outlineLevel="0" collapsed="false">
      <c r="A93" s="2" t="s">
        <v>99</v>
      </c>
      <c r="B93" s="2" t="s">
        <v>114</v>
      </c>
      <c r="C93" s="2" t="s">
        <v>117</v>
      </c>
      <c r="D93" s="2" t="s">
        <v>118</v>
      </c>
      <c r="E93" s="3" t="n">
        <v>41320</v>
      </c>
      <c r="F93" s="4" t="n">
        <v>46129</v>
      </c>
      <c r="G93" s="4"/>
      <c r="H93" s="3" t="str">
        <f aca="false">IF(G93="","",G93-F93)</f>
        <v/>
      </c>
      <c r="I93" s="2" t="s">
        <v>103</v>
      </c>
      <c r="J93" s="2" t="s">
        <v>42</v>
      </c>
      <c r="K93" s="2" t="s">
        <v>36</v>
      </c>
      <c r="L93" s="2" t="s">
        <v>86</v>
      </c>
      <c r="M93" s="2" t="s">
        <v>87</v>
      </c>
      <c r="N93" s="3" t="n">
        <v>15</v>
      </c>
      <c r="O93" s="5" t="n">
        <v>21.95</v>
      </c>
      <c r="P93" s="5" t="n">
        <f aca="false">N93*O93</f>
        <v>329.25</v>
      </c>
      <c r="Q93" s="6" t="n">
        <v>0.05</v>
      </c>
      <c r="R93" s="5" t="n">
        <f aca="false">ROUND(P93*Q93,2)</f>
        <v>16.46</v>
      </c>
      <c r="S93" s="5" t="n">
        <f aca="false">P93-R93</f>
        <v>312.79</v>
      </c>
      <c r="T93" s="5" t="n">
        <f aca="false">ROUND(S93*Assumptions!$B$2,2)</f>
        <v>18.77</v>
      </c>
      <c r="U93" s="5" t="n">
        <f aca="false">S93+T93</f>
        <v>331.56</v>
      </c>
      <c r="V93" s="5" t="n">
        <v>33.25</v>
      </c>
      <c r="W93" s="5" t="n">
        <f aca="false">U93+V93</f>
        <v>364.81</v>
      </c>
      <c r="X93" s="2" t="s">
        <v>39</v>
      </c>
      <c r="Y93" s="2" t="s">
        <v>47</v>
      </c>
    </row>
    <row r="94" customFormat="false" ht="15" hidden="false" customHeight="false" outlineLevel="0" collapsed="false">
      <c r="A94" s="2" t="s">
        <v>99</v>
      </c>
      <c r="B94" s="2" t="s">
        <v>114</v>
      </c>
      <c r="C94" s="2" t="s">
        <v>117</v>
      </c>
      <c r="D94" s="2" t="s">
        <v>118</v>
      </c>
      <c r="E94" s="3" t="n">
        <v>41324</v>
      </c>
      <c r="F94" s="4" t="n">
        <v>46057</v>
      </c>
      <c r="G94" s="4" t="n">
        <v>46059</v>
      </c>
      <c r="H94" s="3" t="n">
        <f aca="false">IF(G94="","",G94-F94)</f>
        <v>2</v>
      </c>
      <c r="I94" s="2" t="s">
        <v>103</v>
      </c>
      <c r="J94" s="2" t="s">
        <v>35</v>
      </c>
      <c r="K94" s="2" t="s">
        <v>48</v>
      </c>
      <c r="L94" s="2" t="s">
        <v>49</v>
      </c>
      <c r="M94" s="2" t="s">
        <v>50</v>
      </c>
      <c r="N94" s="3" t="n">
        <v>6</v>
      </c>
      <c r="O94" s="5" t="n">
        <v>31.9</v>
      </c>
      <c r="P94" s="5" t="n">
        <f aca="false">N94*O94</f>
        <v>191.4</v>
      </c>
      <c r="Q94" s="6" t="n">
        <v>0</v>
      </c>
      <c r="R94" s="5" t="n">
        <f aca="false">ROUND(P94*Q94,2)</f>
        <v>0</v>
      </c>
      <c r="S94" s="5" t="n">
        <f aca="false">P94-R94</f>
        <v>191.4</v>
      </c>
      <c r="T94" s="5" t="n">
        <f aca="false">ROUND(S94*Assumptions!$B$2,2)</f>
        <v>11.48</v>
      </c>
      <c r="U94" s="5" t="n">
        <f aca="false">S94+T94</f>
        <v>202.88</v>
      </c>
      <c r="V94" s="5" t="n">
        <v>14.12</v>
      </c>
      <c r="W94" s="5" t="n">
        <f aca="false">U94+V94</f>
        <v>217</v>
      </c>
      <c r="X94" s="2" t="s">
        <v>46</v>
      </c>
      <c r="Y94" s="2"/>
    </row>
    <row r="95" customFormat="false" ht="15" hidden="false" customHeight="false" outlineLevel="0" collapsed="false">
      <c r="A95" s="2" t="s">
        <v>99</v>
      </c>
      <c r="B95" s="2" t="s">
        <v>114</v>
      </c>
      <c r="C95" s="2" t="s">
        <v>117</v>
      </c>
      <c r="D95" s="2" t="s">
        <v>119</v>
      </c>
      <c r="E95" s="3" t="n">
        <v>41328</v>
      </c>
      <c r="F95" s="4" t="n">
        <v>46055</v>
      </c>
      <c r="G95" s="4" t="n">
        <v>46058</v>
      </c>
      <c r="H95" s="3" t="n">
        <f aca="false">IF(G95="","",G95-F95)</f>
        <v>3</v>
      </c>
      <c r="I95" s="2" t="s">
        <v>103</v>
      </c>
      <c r="J95" s="2" t="s">
        <v>42</v>
      </c>
      <c r="K95" s="2" t="s">
        <v>59</v>
      </c>
      <c r="L95" s="2" t="s">
        <v>60</v>
      </c>
      <c r="M95" s="2" t="s">
        <v>61</v>
      </c>
      <c r="N95" s="3" t="n">
        <v>5</v>
      </c>
      <c r="O95" s="5" t="n">
        <v>64.5</v>
      </c>
      <c r="P95" s="5" t="n">
        <f aca="false">N95*O95</f>
        <v>322.5</v>
      </c>
      <c r="Q95" s="6" t="n">
        <v>0.05</v>
      </c>
      <c r="R95" s="5" t="n">
        <f aca="false">ROUND(P95*Q95,2)</f>
        <v>16.13</v>
      </c>
      <c r="S95" s="5" t="n">
        <f aca="false">P95-R95</f>
        <v>306.37</v>
      </c>
      <c r="T95" s="5" t="n">
        <f aca="false">ROUND(S95*Assumptions!$B$2,2)</f>
        <v>18.38</v>
      </c>
      <c r="U95" s="5" t="n">
        <f aca="false">S95+T95</f>
        <v>324.75</v>
      </c>
      <c r="V95" s="5" t="n">
        <v>25.47</v>
      </c>
      <c r="W95" s="5" t="n">
        <f aca="false">U95+V95</f>
        <v>350.22</v>
      </c>
      <c r="X95" s="2" t="s">
        <v>46</v>
      </c>
      <c r="Y95" s="2"/>
    </row>
    <row r="96" customFormat="false" ht="15" hidden="false" customHeight="false" outlineLevel="0" collapsed="false">
      <c r="A96" s="2" t="s">
        <v>99</v>
      </c>
      <c r="B96" s="2" t="s">
        <v>114</v>
      </c>
      <c r="C96" s="2" t="s">
        <v>117</v>
      </c>
      <c r="D96" s="2" t="s">
        <v>119</v>
      </c>
      <c r="E96" s="3" t="n">
        <v>41331</v>
      </c>
      <c r="F96" s="4" t="n">
        <v>46165</v>
      </c>
      <c r="G96" s="4"/>
      <c r="H96" s="3" t="str">
        <f aca="false">IF(G96="","",G96-F96)</f>
        <v/>
      </c>
      <c r="I96" s="2" t="s">
        <v>103</v>
      </c>
      <c r="J96" s="2" t="s">
        <v>35</v>
      </c>
      <c r="K96" s="2" t="s">
        <v>59</v>
      </c>
      <c r="L96" s="2" t="s">
        <v>75</v>
      </c>
      <c r="M96" s="2" t="s">
        <v>76</v>
      </c>
      <c r="N96" s="3" t="n">
        <v>2</v>
      </c>
      <c r="O96" s="5" t="n">
        <v>129</v>
      </c>
      <c r="P96" s="5" t="n">
        <f aca="false">N96*O96</f>
        <v>258</v>
      </c>
      <c r="Q96" s="6" t="n">
        <v>0</v>
      </c>
      <c r="R96" s="5" t="n">
        <f aca="false">ROUND(P96*Q96,2)</f>
        <v>0</v>
      </c>
      <c r="S96" s="5" t="n">
        <f aca="false">P96-R96</f>
        <v>258</v>
      </c>
      <c r="T96" s="5" t="n">
        <f aca="false">ROUND(S96*Assumptions!$B$2,2)</f>
        <v>15.48</v>
      </c>
      <c r="U96" s="5" t="n">
        <f aca="false">S96+T96</f>
        <v>273.48</v>
      </c>
      <c r="V96" s="5" t="n">
        <v>24.1</v>
      </c>
      <c r="W96" s="5" t="n">
        <f aca="false">U96+V96</f>
        <v>297.58</v>
      </c>
      <c r="X96" s="2" t="s">
        <v>39</v>
      </c>
      <c r="Y96" s="2" t="s">
        <v>52</v>
      </c>
    </row>
    <row r="97" customFormat="false" ht="15" hidden="false" customHeight="false" outlineLevel="0" collapsed="false">
      <c r="A97" s="2" t="s">
        <v>99</v>
      </c>
      <c r="B97" s="2" t="s">
        <v>114</v>
      </c>
      <c r="C97" s="2" t="s">
        <v>117</v>
      </c>
      <c r="D97" s="2" t="s">
        <v>119</v>
      </c>
      <c r="E97" s="3" t="n">
        <v>41336</v>
      </c>
      <c r="F97" s="4" t="n">
        <v>46079</v>
      </c>
      <c r="G97" s="4"/>
      <c r="H97" s="3" t="str">
        <f aca="false">IF(G97="","",G97-F97)</f>
        <v/>
      </c>
      <c r="I97" s="2" t="s">
        <v>103</v>
      </c>
      <c r="J97" s="2" t="s">
        <v>42</v>
      </c>
      <c r="K97" s="2" t="s">
        <v>48</v>
      </c>
      <c r="L97" s="2" t="s">
        <v>54</v>
      </c>
      <c r="M97" s="2" t="s">
        <v>55</v>
      </c>
      <c r="N97" s="3" t="n">
        <v>3</v>
      </c>
      <c r="O97" s="5" t="n">
        <v>22.75</v>
      </c>
      <c r="P97" s="5" t="n">
        <f aca="false">N97*O97</f>
        <v>68.25</v>
      </c>
      <c r="Q97" s="6" t="n">
        <v>0</v>
      </c>
      <c r="R97" s="5" t="n">
        <f aca="false">ROUND(P97*Q97,2)</f>
        <v>0</v>
      </c>
      <c r="S97" s="5" t="n">
        <f aca="false">P97-R97</f>
        <v>68.25</v>
      </c>
      <c r="T97" s="5" t="n">
        <f aca="false">ROUND(S97*Assumptions!$B$2,2)</f>
        <v>4.1</v>
      </c>
      <c r="U97" s="5" t="n">
        <f aca="false">S97+T97</f>
        <v>72.35</v>
      </c>
      <c r="V97" s="5" t="n">
        <v>0</v>
      </c>
      <c r="W97" s="5" t="n">
        <f aca="false">U97+V97</f>
        <v>72.35</v>
      </c>
      <c r="X97" s="2" t="s">
        <v>51</v>
      </c>
      <c r="Y97" s="2"/>
    </row>
    <row r="98" customFormat="false" ht="15" hidden="false" customHeight="false" outlineLevel="0" collapsed="false">
      <c r="A98" s="2" t="s">
        <v>99</v>
      </c>
      <c r="B98" s="2" t="s">
        <v>114</v>
      </c>
      <c r="C98" s="2" t="s">
        <v>117</v>
      </c>
      <c r="D98" s="2" t="s">
        <v>120</v>
      </c>
      <c r="E98" s="3" t="n">
        <v>41338</v>
      </c>
      <c r="F98" s="4" t="n">
        <v>46050</v>
      </c>
      <c r="G98" s="4" t="n">
        <v>46052</v>
      </c>
      <c r="H98" s="3" t="n">
        <f aca="false">IF(G98="","",G98-F98)</f>
        <v>2</v>
      </c>
      <c r="I98" s="2" t="s">
        <v>103</v>
      </c>
      <c r="J98" s="2" t="s">
        <v>30</v>
      </c>
      <c r="K98" s="2" t="s">
        <v>48</v>
      </c>
      <c r="L98" s="2" t="s">
        <v>54</v>
      </c>
      <c r="M98" s="2" t="s">
        <v>55</v>
      </c>
      <c r="N98" s="3" t="n">
        <v>20</v>
      </c>
      <c r="O98" s="5" t="n">
        <v>22.75</v>
      </c>
      <c r="P98" s="5" t="n">
        <f aca="false">N98*O98</f>
        <v>455</v>
      </c>
      <c r="Q98" s="6" t="n">
        <v>0.1</v>
      </c>
      <c r="R98" s="5" t="n">
        <f aca="false">ROUND(P98*Q98,2)</f>
        <v>45.5</v>
      </c>
      <c r="S98" s="5" t="n">
        <f aca="false">P98-R98</f>
        <v>409.5</v>
      </c>
      <c r="T98" s="5" t="n">
        <f aca="false">ROUND(S98*Assumptions!$B$2,2)</f>
        <v>24.57</v>
      </c>
      <c r="U98" s="5" t="n">
        <f aca="false">S98+T98</f>
        <v>434.07</v>
      </c>
      <c r="V98" s="5" t="n">
        <v>17.98</v>
      </c>
      <c r="W98" s="5" t="n">
        <f aca="false">U98+V98</f>
        <v>452.05</v>
      </c>
      <c r="X98" s="2" t="s">
        <v>46</v>
      </c>
      <c r="Y98" s="2"/>
    </row>
    <row r="99" customFormat="false" ht="15" hidden="false" customHeight="false" outlineLevel="0" collapsed="false">
      <c r="A99" s="2" t="s">
        <v>99</v>
      </c>
      <c r="B99" s="2" t="s">
        <v>114</v>
      </c>
      <c r="C99" s="2" t="s">
        <v>117</v>
      </c>
      <c r="D99" s="2" t="s">
        <v>120</v>
      </c>
      <c r="E99" s="3" t="n">
        <v>41343</v>
      </c>
      <c r="F99" s="4" t="n">
        <v>46185</v>
      </c>
      <c r="G99" s="4" t="n">
        <v>46190</v>
      </c>
      <c r="H99" s="3" t="n">
        <f aca="false">IF(G99="","",G99-F99)</f>
        <v>5</v>
      </c>
      <c r="I99" s="2" t="s">
        <v>104</v>
      </c>
      <c r="J99" s="2" t="s">
        <v>30</v>
      </c>
      <c r="K99" s="2" t="s">
        <v>36</v>
      </c>
      <c r="L99" s="2" t="s">
        <v>37</v>
      </c>
      <c r="M99" s="2" t="s">
        <v>38</v>
      </c>
      <c r="N99" s="3" t="n">
        <v>24</v>
      </c>
      <c r="O99" s="5" t="n">
        <v>27.6</v>
      </c>
      <c r="P99" s="5" t="n">
        <f aca="false">N99*O99</f>
        <v>662.4</v>
      </c>
      <c r="Q99" s="6" t="n">
        <v>0.05</v>
      </c>
      <c r="R99" s="5" t="n">
        <f aca="false">ROUND(P99*Q99,2)</f>
        <v>33.12</v>
      </c>
      <c r="S99" s="5" t="n">
        <f aca="false">P99-R99</f>
        <v>629.28</v>
      </c>
      <c r="T99" s="5" t="n">
        <f aca="false">ROUND(S99*Assumptions!$B$2,2)</f>
        <v>37.76</v>
      </c>
      <c r="U99" s="5" t="n">
        <f aca="false">S99+T99</f>
        <v>667.04</v>
      </c>
      <c r="V99" s="5" t="n">
        <v>19.23</v>
      </c>
      <c r="W99" s="5" t="n">
        <f aca="false">U99+V99</f>
        <v>686.27</v>
      </c>
      <c r="X99" s="2" t="s">
        <v>46</v>
      </c>
      <c r="Y99" s="2"/>
    </row>
    <row r="100" customFormat="false" ht="15" hidden="false" customHeight="false" outlineLevel="0" collapsed="false">
      <c r="A100" s="2" t="s">
        <v>99</v>
      </c>
      <c r="B100" s="2" t="s">
        <v>114</v>
      </c>
      <c r="C100" s="2" t="s">
        <v>117</v>
      </c>
      <c r="D100" s="2" t="s">
        <v>120</v>
      </c>
      <c r="E100" s="3" t="n">
        <v>41348</v>
      </c>
      <c r="F100" s="4" t="n">
        <v>46083</v>
      </c>
      <c r="G100" s="4" t="n">
        <v>46088</v>
      </c>
      <c r="H100" s="3" t="n">
        <f aca="false">IF(G100="","",G100-F100)</f>
        <v>5</v>
      </c>
      <c r="I100" s="2" t="s">
        <v>103</v>
      </c>
      <c r="J100" s="2" t="s">
        <v>30</v>
      </c>
      <c r="K100" s="2" t="s">
        <v>48</v>
      </c>
      <c r="L100" s="2" t="s">
        <v>49</v>
      </c>
      <c r="M100" s="2" t="s">
        <v>50</v>
      </c>
      <c r="N100" s="3" t="n">
        <v>1</v>
      </c>
      <c r="O100" s="5" t="n">
        <v>31.9</v>
      </c>
      <c r="P100" s="5" t="n">
        <f aca="false">N100*O100</f>
        <v>31.9</v>
      </c>
      <c r="Q100" s="6" t="n">
        <v>0</v>
      </c>
      <c r="R100" s="5" t="n">
        <f aca="false">ROUND(P100*Q100,2)</f>
        <v>0</v>
      </c>
      <c r="S100" s="5" t="n">
        <f aca="false">P100-R100</f>
        <v>31.9</v>
      </c>
      <c r="T100" s="5" t="n">
        <f aca="false">ROUND(S100*Assumptions!$B$2,2)</f>
        <v>1.91</v>
      </c>
      <c r="U100" s="5" t="n">
        <f aca="false">S100+T100</f>
        <v>33.81</v>
      </c>
      <c r="V100" s="5" t="n">
        <v>35.22</v>
      </c>
      <c r="W100" s="5" t="n">
        <f aca="false">U100+V100</f>
        <v>69.03</v>
      </c>
      <c r="X100" s="2" t="s">
        <v>46</v>
      </c>
      <c r="Y100" s="2" t="s">
        <v>73</v>
      </c>
    </row>
    <row r="101" customFormat="false" ht="15" hidden="false" customHeight="false" outlineLevel="0" collapsed="false">
      <c r="A101" s="2" t="s">
        <v>99</v>
      </c>
      <c r="B101" s="2" t="s">
        <v>114</v>
      </c>
      <c r="C101" s="2" t="s">
        <v>117</v>
      </c>
      <c r="D101" s="2" t="s">
        <v>120</v>
      </c>
      <c r="E101" s="3" t="n">
        <v>41349</v>
      </c>
      <c r="F101" s="4" t="n">
        <v>46032</v>
      </c>
      <c r="G101" s="4"/>
      <c r="H101" s="3" t="str">
        <f aca="false">IF(G101="","",G101-F101)</f>
        <v/>
      </c>
      <c r="I101" s="2" t="s">
        <v>103</v>
      </c>
      <c r="J101" s="2" t="s">
        <v>42</v>
      </c>
      <c r="K101" s="2" t="s">
        <v>43</v>
      </c>
      <c r="L101" s="2" t="s">
        <v>44</v>
      </c>
      <c r="M101" s="2" t="s">
        <v>45</v>
      </c>
      <c r="N101" s="3" t="n">
        <v>24</v>
      </c>
      <c r="O101" s="5" t="n">
        <v>13.4</v>
      </c>
      <c r="P101" s="5" t="n">
        <f aca="false">N101*O101</f>
        <v>321.6</v>
      </c>
      <c r="Q101" s="6" t="n">
        <v>0.05</v>
      </c>
      <c r="R101" s="5" t="n">
        <f aca="false">ROUND(P101*Q101,2)</f>
        <v>16.08</v>
      </c>
      <c r="S101" s="5" t="n">
        <f aca="false">P101-R101</f>
        <v>305.52</v>
      </c>
      <c r="T101" s="5" t="n">
        <f aca="false">ROUND(S101*Assumptions!$B$2,2)</f>
        <v>18.33</v>
      </c>
      <c r="U101" s="5" t="n">
        <f aca="false">S101+T101</f>
        <v>323.85</v>
      </c>
      <c r="V101" s="5" t="n">
        <v>36.77</v>
      </c>
      <c r="W101" s="5" t="n">
        <f aca="false">U101+V101</f>
        <v>360.62</v>
      </c>
      <c r="X101" s="2" t="s">
        <v>39</v>
      </c>
      <c r="Y101" s="2" t="s">
        <v>58</v>
      </c>
    </row>
    <row r="102" customFormat="false" ht="15" hidden="false" customHeight="false" outlineLevel="0" collapsed="false">
      <c r="A102" s="2" t="s">
        <v>99</v>
      </c>
      <c r="B102" s="2" t="s">
        <v>114</v>
      </c>
      <c r="C102" s="2" t="s">
        <v>121</v>
      </c>
      <c r="D102" s="2" t="s">
        <v>122</v>
      </c>
      <c r="E102" s="3" t="n">
        <v>41353</v>
      </c>
      <c r="F102" s="4" t="n">
        <v>46057</v>
      </c>
      <c r="G102" s="4"/>
      <c r="H102" s="3" t="str">
        <f aca="false">IF(G102="","",G102-F102)</f>
        <v/>
      </c>
      <c r="I102" s="2" t="s">
        <v>103</v>
      </c>
      <c r="J102" s="2" t="s">
        <v>42</v>
      </c>
      <c r="K102" s="2" t="s">
        <v>43</v>
      </c>
      <c r="L102" s="2" t="s">
        <v>56</v>
      </c>
      <c r="M102" s="2" t="s">
        <v>57</v>
      </c>
      <c r="N102" s="3" t="n">
        <v>6</v>
      </c>
      <c r="O102" s="5" t="n">
        <v>42</v>
      </c>
      <c r="P102" s="5" t="n">
        <f aca="false">N102*O102</f>
        <v>252</v>
      </c>
      <c r="Q102" s="6" t="n">
        <v>0.05</v>
      </c>
      <c r="R102" s="5" t="n">
        <f aca="false">ROUND(P102*Q102,2)</f>
        <v>12.6</v>
      </c>
      <c r="S102" s="5" t="n">
        <f aca="false">P102-R102</f>
        <v>239.4</v>
      </c>
      <c r="T102" s="5" t="n">
        <f aca="false">ROUND(S102*Assumptions!$B$2,2)</f>
        <v>14.36</v>
      </c>
      <c r="U102" s="5" t="n">
        <f aca="false">S102+T102</f>
        <v>253.76</v>
      </c>
      <c r="V102" s="5" t="n">
        <v>10.69</v>
      </c>
      <c r="W102" s="5" t="n">
        <f aca="false">U102+V102</f>
        <v>264.45</v>
      </c>
      <c r="X102" s="2" t="s">
        <v>39</v>
      </c>
      <c r="Y102" s="2" t="s">
        <v>84</v>
      </c>
    </row>
    <row r="103" customFormat="false" ht="15" hidden="false" customHeight="false" outlineLevel="0" collapsed="false">
      <c r="A103" s="2" t="s">
        <v>99</v>
      </c>
      <c r="B103" s="2" t="s">
        <v>114</v>
      </c>
      <c r="C103" s="2" t="s">
        <v>121</v>
      </c>
      <c r="D103" s="2" t="s">
        <v>122</v>
      </c>
      <c r="E103" s="3" t="n">
        <v>41359</v>
      </c>
      <c r="F103" s="4" t="n">
        <v>46208</v>
      </c>
      <c r="G103" s="4" t="n">
        <v>46211</v>
      </c>
      <c r="H103" s="3" t="n">
        <f aca="false">IF(G103="","",G103-F103)</f>
        <v>3</v>
      </c>
      <c r="I103" s="2" t="s">
        <v>103</v>
      </c>
      <c r="J103" s="2" t="s">
        <v>42</v>
      </c>
      <c r="K103" s="2" t="s">
        <v>48</v>
      </c>
      <c r="L103" s="2" t="s">
        <v>49</v>
      </c>
      <c r="M103" s="2" t="s">
        <v>50</v>
      </c>
      <c r="N103" s="3" t="n">
        <v>50</v>
      </c>
      <c r="O103" s="5" t="n">
        <v>31.9</v>
      </c>
      <c r="P103" s="5" t="n">
        <f aca="false">N103*O103</f>
        <v>1595</v>
      </c>
      <c r="Q103" s="6" t="n">
        <v>0</v>
      </c>
      <c r="R103" s="5" t="n">
        <f aca="false">ROUND(P103*Q103,2)</f>
        <v>0</v>
      </c>
      <c r="S103" s="5" t="n">
        <f aca="false">P103-R103</f>
        <v>1595</v>
      </c>
      <c r="T103" s="5" t="n">
        <f aca="false">ROUND(S103*Assumptions!$B$2,2)</f>
        <v>95.7</v>
      </c>
      <c r="U103" s="5" t="n">
        <f aca="false">S103+T103</f>
        <v>1690.7</v>
      </c>
      <c r="V103" s="5" t="n">
        <v>3.55</v>
      </c>
      <c r="W103" s="5" t="n">
        <f aca="false">U103+V103</f>
        <v>1694.25</v>
      </c>
      <c r="X103" s="2" t="s">
        <v>46</v>
      </c>
      <c r="Y103" s="2"/>
    </row>
    <row r="104" customFormat="false" ht="15" hidden="false" customHeight="false" outlineLevel="0" collapsed="false">
      <c r="A104" s="2" t="s">
        <v>99</v>
      </c>
      <c r="B104" s="2" t="s">
        <v>114</v>
      </c>
      <c r="C104" s="2" t="s">
        <v>121</v>
      </c>
      <c r="D104" s="2" t="s">
        <v>122</v>
      </c>
      <c r="E104" s="3" t="n">
        <v>41360</v>
      </c>
      <c r="F104" s="4" t="n">
        <v>46260</v>
      </c>
      <c r="G104" s="4"/>
      <c r="H104" s="3" t="str">
        <f aca="false">IF(G104="","",G104-F104)</f>
        <v/>
      </c>
      <c r="I104" s="2" t="s">
        <v>104</v>
      </c>
      <c r="J104" s="2" t="s">
        <v>35</v>
      </c>
      <c r="K104" s="2" t="s">
        <v>48</v>
      </c>
      <c r="L104" s="2" t="s">
        <v>49</v>
      </c>
      <c r="M104" s="2" t="s">
        <v>50</v>
      </c>
      <c r="N104" s="3" t="n">
        <v>25</v>
      </c>
      <c r="O104" s="5" t="n">
        <v>31.9</v>
      </c>
      <c r="P104" s="5" t="n">
        <f aca="false">N104*O104</f>
        <v>797.5</v>
      </c>
      <c r="Q104" s="6" t="n">
        <v>0.15</v>
      </c>
      <c r="R104" s="5" t="n">
        <f aca="false">ROUND(P104*Q104,2)</f>
        <v>119.63</v>
      </c>
      <c r="S104" s="5" t="n">
        <f aca="false">P104-R104</f>
        <v>677.87</v>
      </c>
      <c r="T104" s="5" t="n">
        <f aca="false">ROUND(S104*Assumptions!$B$2,2)</f>
        <v>40.67</v>
      </c>
      <c r="U104" s="5" t="n">
        <f aca="false">S104+T104</f>
        <v>718.54</v>
      </c>
      <c r="V104" s="5" t="n">
        <v>0</v>
      </c>
      <c r="W104" s="5" t="n">
        <f aca="false">U104+V104</f>
        <v>718.54</v>
      </c>
      <c r="X104" s="2" t="s">
        <v>51</v>
      </c>
      <c r="Y104" s="2"/>
    </row>
    <row r="105" customFormat="false" ht="15" hidden="false" customHeight="false" outlineLevel="0" collapsed="false">
      <c r="A105" s="2" t="s">
        <v>99</v>
      </c>
      <c r="B105" s="2" t="s">
        <v>114</v>
      </c>
      <c r="C105" s="2" t="s">
        <v>121</v>
      </c>
      <c r="D105" s="2" t="s">
        <v>122</v>
      </c>
      <c r="E105" s="3" t="n">
        <v>41362</v>
      </c>
      <c r="F105" s="4" t="n">
        <v>46175</v>
      </c>
      <c r="G105" s="4" t="n">
        <v>46181</v>
      </c>
      <c r="H105" s="3" t="n">
        <f aca="false">IF(G105="","",G105-F105)</f>
        <v>6</v>
      </c>
      <c r="I105" s="2" t="s">
        <v>104</v>
      </c>
      <c r="J105" s="2" t="s">
        <v>42</v>
      </c>
      <c r="K105" s="2" t="s">
        <v>36</v>
      </c>
      <c r="L105" s="2" t="s">
        <v>86</v>
      </c>
      <c r="M105" s="2" t="s">
        <v>87</v>
      </c>
      <c r="N105" s="3" t="n">
        <v>12</v>
      </c>
      <c r="O105" s="5" t="n">
        <v>21.95</v>
      </c>
      <c r="P105" s="5" t="n">
        <f aca="false">N105*O105</f>
        <v>263.4</v>
      </c>
      <c r="Q105" s="6" t="n">
        <v>0</v>
      </c>
      <c r="R105" s="5" t="n">
        <f aca="false">ROUND(P105*Q105,2)</f>
        <v>0</v>
      </c>
      <c r="S105" s="5" t="n">
        <f aca="false">P105-R105</f>
        <v>263.4</v>
      </c>
      <c r="T105" s="5" t="n">
        <f aca="false">ROUND(S105*Assumptions!$B$2,2)</f>
        <v>15.8</v>
      </c>
      <c r="U105" s="5" t="n">
        <f aca="false">S105+T105</f>
        <v>279.2</v>
      </c>
      <c r="V105" s="5" t="n">
        <v>2.17</v>
      </c>
      <c r="W105" s="5" t="n">
        <f aca="false">U105+V105</f>
        <v>281.37</v>
      </c>
      <c r="X105" s="2" t="s">
        <v>46</v>
      </c>
      <c r="Y105" s="2" t="s">
        <v>47</v>
      </c>
    </row>
    <row r="106" customFormat="false" ht="15" hidden="false" customHeight="false" outlineLevel="0" collapsed="false">
      <c r="A106" s="2" t="s">
        <v>99</v>
      </c>
      <c r="B106" s="2" t="s">
        <v>114</v>
      </c>
      <c r="C106" s="2" t="s">
        <v>121</v>
      </c>
      <c r="D106" s="2" t="s">
        <v>122</v>
      </c>
      <c r="E106" s="3" t="n">
        <v>41367</v>
      </c>
      <c r="F106" s="4" t="n">
        <v>46023</v>
      </c>
      <c r="G106" s="4"/>
      <c r="H106" s="3" t="str">
        <f aca="false">IF(G106="","",G106-F106)</f>
        <v/>
      </c>
      <c r="I106" s="2" t="s">
        <v>104</v>
      </c>
      <c r="J106" s="2" t="s">
        <v>42</v>
      </c>
      <c r="K106" s="2" t="s">
        <v>59</v>
      </c>
      <c r="L106" s="2" t="s">
        <v>75</v>
      </c>
      <c r="M106" s="2" t="s">
        <v>76</v>
      </c>
      <c r="N106" s="3" t="n">
        <v>4</v>
      </c>
      <c r="O106" s="5" t="n">
        <v>129</v>
      </c>
      <c r="P106" s="5" t="n">
        <f aca="false">N106*O106</f>
        <v>516</v>
      </c>
      <c r="Q106" s="6" t="n">
        <v>0.1</v>
      </c>
      <c r="R106" s="5" t="n">
        <f aca="false">ROUND(P106*Q106,2)</f>
        <v>51.6</v>
      </c>
      <c r="S106" s="5" t="n">
        <f aca="false">P106-R106</f>
        <v>464.4</v>
      </c>
      <c r="T106" s="5" t="n">
        <f aca="false">ROUND(S106*Assumptions!$B$2,2)</f>
        <v>27.86</v>
      </c>
      <c r="U106" s="5" t="n">
        <f aca="false">S106+T106</f>
        <v>492.26</v>
      </c>
      <c r="V106" s="5" t="n">
        <v>31.39</v>
      </c>
      <c r="W106" s="5" t="n">
        <f aca="false">U106+V106</f>
        <v>523.65</v>
      </c>
      <c r="X106" s="2" t="s">
        <v>39</v>
      </c>
      <c r="Y106" s="2" t="s">
        <v>47</v>
      </c>
    </row>
    <row r="107" customFormat="false" ht="15" hidden="false" customHeight="false" outlineLevel="0" collapsed="false">
      <c r="A107" s="2" t="s">
        <v>99</v>
      </c>
      <c r="B107" s="2" t="s">
        <v>114</v>
      </c>
      <c r="C107" s="2" t="s">
        <v>121</v>
      </c>
      <c r="D107" s="2" t="s">
        <v>122</v>
      </c>
      <c r="E107" s="3" t="n">
        <v>41369</v>
      </c>
      <c r="F107" s="4" t="n">
        <v>46056</v>
      </c>
      <c r="G107" s="4" t="n">
        <v>46057</v>
      </c>
      <c r="H107" s="3" t="n">
        <f aca="false">IF(G107="","",G107-F107)</f>
        <v>1</v>
      </c>
      <c r="I107" s="2" t="s">
        <v>103</v>
      </c>
      <c r="J107" s="2" t="s">
        <v>35</v>
      </c>
      <c r="K107" s="2" t="s">
        <v>43</v>
      </c>
      <c r="L107" s="2" t="s">
        <v>56</v>
      </c>
      <c r="M107" s="2" t="s">
        <v>57</v>
      </c>
      <c r="N107" s="3" t="n">
        <v>3</v>
      </c>
      <c r="O107" s="5" t="n">
        <v>42</v>
      </c>
      <c r="P107" s="5" t="n">
        <f aca="false">N107*O107</f>
        <v>126</v>
      </c>
      <c r="Q107" s="6" t="n">
        <v>0.05</v>
      </c>
      <c r="R107" s="5" t="n">
        <f aca="false">ROUND(P107*Q107,2)</f>
        <v>6.3</v>
      </c>
      <c r="S107" s="5" t="n">
        <f aca="false">P107-R107</f>
        <v>119.7</v>
      </c>
      <c r="T107" s="5" t="n">
        <f aca="false">ROUND(S107*Assumptions!$B$2,2)</f>
        <v>7.18</v>
      </c>
      <c r="U107" s="5" t="n">
        <f aca="false">S107+T107</f>
        <v>126.88</v>
      </c>
      <c r="V107" s="5" t="n">
        <v>3.19</v>
      </c>
      <c r="W107" s="5" t="n">
        <f aca="false">U107+V107</f>
        <v>130.07</v>
      </c>
      <c r="X107" s="2" t="s">
        <v>46</v>
      </c>
      <c r="Y107" s="2" t="s">
        <v>47</v>
      </c>
    </row>
    <row r="108" customFormat="false" ht="15" hidden="false" customHeight="false" outlineLevel="0" collapsed="false">
      <c r="A108" s="2" t="s">
        <v>99</v>
      </c>
      <c r="B108" s="2" t="s">
        <v>114</v>
      </c>
      <c r="C108" s="2" t="s">
        <v>121</v>
      </c>
      <c r="D108" s="2" t="s">
        <v>123</v>
      </c>
      <c r="E108" s="3" t="n">
        <v>41375</v>
      </c>
      <c r="F108" s="4" t="n">
        <v>46216</v>
      </c>
      <c r="G108" s="4" t="n">
        <v>46222</v>
      </c>
      <c r="H108" s="3" t="n">
        <f aca="false">IF(G108="","",G108-F108)</f>
        <v>6</v>
      </c>
      <c r="I108" s="2" t="s">
        <v>103</v>
      </c>
      <c r="J108" s="2" t="s">
        <v>42</v>
      </c>
      <c r="K108" s="2" t="s">
        <v>36</v>
      </c>
      <c r="L108" s="2" t="s">
        <v>93</v>
      </c>
      <c r="M108" s="2" t="s">
        <v>94</v>
      </c>
      <c r="N108" s="3" t="n">
        <v>6</v>
      </c>
      <c r="O108" s="5" t="n">
        <v>16.8</v>
      </c>
      <c r="P108" s="5" t="n">
        <f aca="false">N108*O108</f>
        <v>100.8</v>
      </c>
      <c r="Q108" s="6" t="n">
        <v>0.05</v>
      </c>
      <c r="R108" s="5" t="n">
        <f aca="false">ROUND(P108*Q108,2)</f>
        <v>5.04</v>
      </c>
      <c r="S108" s="5" t="n">
        <f aca="false">P108-R108</f>
        <v>95.76</v>
      </c>
      <c r="T108" s="5" t="n">
        <f aca="false">ROUND(S108*Assumptions!$B$2,2)</f>
        <v>5.75</v>
      </c>
      <c r="U108" s="5" t="n">
        <f aca="false">S108+T108</f>
        <v>101.51</v>
      </c>
      <c r="V108" s="5" t="n">
        <v>42.33</v>
      </c>
      <c r="W108" s="5" t="n">
        <f aca="false">U108+V108</f>
        <v>143.84</v>
      </c>
      <c r="X108" s="2" t="s">
        <v>46</v>
      </c>
      <c r="Y108" s="2" t="s">
        <v>52</v>
      </c>
    </row>
    <row r="109" customFormat="false" ht="15" hidden="false" customHeight="false" outlineLevel="0" collapsed="false">
      <c r="A109" s="2" t="s">
        <v>99</v>
      </c>
      <c r="B109" s="2" t="s">
        <v>114</v>
      </c>
      <c r="C109" s="2" t="s">
        <v>121</v>
      </c>
      <c r="D109" s="2" t="s">
        <v>123</v>
      </c>
      <c r="E109" s="3" t="n">
        <v>41379</v>
      </c>
      <c r="F109" s="4" t="n">
        <v>46222</v>
      </c>
      <c r="G109" s="4" t="n">
        <v>46225</v>
      </c>
      <c r="H109" s="3" t="n">
        <f aca="false">IF(G109="","",G109-F109)</f>
        <v>3</v>
      </c>
      <c r="I109" s="2" t="s">
        <v>103</v>
      </c>
      <c r="J109" s="2" t="s">
        <v>35</v>
      </c>
      <c r="K109" s="2" t="s">
        <v>31</v>
      </c>
      <c r="L109" s="2" t="s">
        <v>62</v>
      </c>
      <c r="M109" s="2" t="s">
        <v>63</v>
      </c>
      <c r="N109" s="3" t="n">
        <v>12</v>
      </c>
      <c r="O109" s="5" t="n">
        <v>19.5</v>
      </c>
      <c r="P109" s="5" t="n">
        <f aca="false">N109*O109</f>
        <v>234</v>
      </c>
      <c r="Q109" s="6" t="n">
        <v>0</v>
      </c>
      <c r="R109" s="5" t="n">
        <f aca="false">ROUND(P109*Q109,2)</f>
        <v>0</v>
      </c>
      <c r="S109" s="5" t="n">
        <f aca="false">P109-R109</f>
        <v>234</v>
      </c>
      <c r="T109" s="5" t="n">
        <f aca="false">ROUND(S109*Assumptions!$B$2,2)</f>
        <v>14.04</v>
      </c>
      <c r="U109" s="5" t="n">
        <f aca="false">S109+T109</f>
        <v>248.04</v>
      </c>
      <c r="V109" s="5" t="n">
        <v>1.82</v>
      </c>
      <c r="W109" s="5" t="n">
        <f aca="false">U109+V109</f>
        <v>249.86</v>
      </c>
      <c r="X109" s="2" t="s">
        <v>46</v>
      </c>
      <c r="Y109" s="2"/>
    </row>
    <row r="110" customFormat="false" ht="15" hidden="false" customHeight="false" outlineLevel="0" collapsed="false">
      <c r="A110" s="2" t="s">
        <v>99</v>
      </c>
      <c r="B110" s="2" t="s">
        <v>114</v>
      </c>
      <c r="C110" s="2" t="s">
        <v>121</v>
      </c>
      <c r="D110" s="2" t="s">
        <v>123</v>
      </c>
      <c r="E110" s="3" t="n">
        <v>41383</v>
      </c>
      <c r="F110" s="4" t="n">
        <v>46037</v>
      </c>
      <c r="G110" s="4"/>
      <c r="H110" s="3" t="str">
        <f aca="false">IF(G110="","",G110-F110)</f>
        <v/>
      </c>
      <c r="I110" s="2" t="s">
        <v>104</v>
      </c>
      <c r="J110" s="2" t="s">
        <v>30</v>
      </c>
      <c r="K110" s="2" t="s">
        <v>36</v>
      </c>
      <c r="L110" s="2" t="s">
        <v>86</v>
      </c>
      <c r="M110" s="2" t="s">
        <v>87</v>
      </c>
      <c r="N110" s="3" t="n">
        <v>30</v>
      </c>
      <c r="O110" s="5" t="n">
        <v>21.95</v>
      </c>
      <c r="P110" s="5" t="n">
        <f aca="false">N110*O110</f>
        <v>658.5</v>
      </c>
      <c r="Q110" s="6" t="n">
        <v>0.05</v>
      </c>
      <c r="R110" s="5" t="n">
        <f aca="false">ROUND(P110*Q110,2)</f>
        <v>32.93</v>
      </c>
      <c r="S110" s="5" t="n">
        <f aca="false">P110-R110</f>
        <v>625.57</v>
      </c>
      <c r="T110" s="5" t="n">
        <f aca="false">ROUND(S110*Assumptions!$B$2,2)</f>
        <v>37.53</v>
      </c>
      <c r="U110" s="5" t="n">
        <f aca="false">S110+T110</f>
        <v>663.1</v>
      </c>
      <c r="V110" s="5" t="n">
        <v>0</v>
      </c>
      <c r="W110" s="5" t="n">
        <f aca="false">U110+V110</f>
        <v>663.1</v>
      </c>
      <c r="X110" s="2" t="s">
        <v>51</v>
      </c>
      <c r="Y110" s="2" t="s">
        <v>73</v>
      </c>
    </row>
    <row r="111" customFormat="false" ht="15" hidden="false" customHeight="false" outlineLevel="0" collapsed="false">
      <c r="A111" s="2" t="s">
        <v>99</v>
      </c>
      <c r="B111" s="2" t="s">
        <v>114</v>
      </c>
      <c r="C111" s="2" t="s">
        <v>121</v>
      </c>
      <c r="D111" s="2" t="s">
        <v>124</v>
      </c>
      <c r="E111" s="3" t="n">
        <v>41385</v>
      </c>
      <c r="F111" s="4" t="n">
        <v>46128</v>
      </c>
      <c r="G111" s="4" t="n">
        <v>46135</v>
      </c>
      <c r="H111" s="3" t="n">
        <f aca="false">IF(G111="","",G111-F111)</f>
        <v>7</v>
      </c>
      <c r="I111" s="2" t="s">
        <v>104</v>
      </c>
      <c r="J111" s="2" t="s">
        <v>42</v>
      </c>
      <c r="K111" s="2" t="s">
        <v>48</v>
      </c>
      <c r="L111" s="2" t="s">
        <v>54</v>
      </c>
      <c r="M111" s="2" t="s">
        <v>55</v>
      </c>
      <c r="N111" s="3" t="n">
        <v>6</v>
      </c>
      <c r="O111" s="5" t="n">
        <v>22.75</v>
      </c>
      <c r="P111" s="5" t="n">
        <f aca="false">N111*O111</f>
        <v>136.5</v>
      </c>
      <c r="Q111" s="6" t="n">
        <v>0</v>
      </c>
      <c r="R111" s="5" t="n">
        <f aca="false">ROUND(P111*Q111,2)</f>
        <v>0</v>
      </c>
      <c r="S111" s="5" t="n">
        <f aca="false">P111-R111</f>
        <v>136.5</v>
      </c>
      <c r="T111" s="5" t="n">
        <f aca="false">ROUND(S111*Assumptions!$B$2,2)</f>
        <v>8.19</v>
      </c>
      <c r="U111" s="5" t="n">
        <f aca="false">S111+T111</f>
        <v>144.69</v>
      </c>
      <c r="V111" s="5" t="n">
        <v>14.51</v>
      </c>
      <c r="W111" s="5" t="n">
        <f aca="false">U111+V111</f>
        <v>159.2</v>
      </c>
      <c r="X111" s="2" t="s">
        <v>46</v>
      </c>
      <c r="Y111" s="2" t="s">
        <v>73</v>
      </c>
    </row>
    <row r="112" customFormat="false" ht="15" hidden="false" customHeight="false" outlineLevel="0" collapsed="false">
      <c r="A112" s="2" t="s">
        <v>99</v>
      </c>
      <c r="B112" s="2" t="s">
        <v>114</v>
      </c>
      <c r="C112" s="2" t="s">
        <v>121</v>
      </c>
      <c r="D112" s="2" t="s">
        <v>124</v>
      </c>
      <c r="E112" s="3" t="n">
        <v>41389</v>
      </c>
      <c r="F112" s="4" t="n">
        <v>46024</v>
      </c>
      <c r="G112" s="4" t="n">
        <v>46027</v>
      </c>
      <c r="H112" s="3" t="n">
        <f aca="false">IF(G112="","",G112-F112)</f>
        <v>3</v>
      </c>
      <c r="I112" s="2" t="s">
        <v>104</v>
      </c>
      <c r="J112" s="2" t="s">
        <v>30</v>
      </c>
      <c r="K112" s="2" t="s">
        <v>43</v>
      </c>
      <c r="L112" s="2" t="s">
        <v>56</v>
      </c>
      <c r="M112" s="2" t="s">
        <v>57</v>
      </c>
      <c r="N112" s="3" t="n">
        <v>1</v>
      </c>
      <c r="O112" s="5" t="n">
        <v>42</v>
      </c>
      <c r="P112" s="5" t="n">
        <f aca="false">N112*O112</f>
        <v>42</v>
      </c>
      <c r="Q112" s="6" t="n">
        <v>0</v>
      </c>
      <c r="R112" s="5" t="n">
        <f aca="false">ROUND(P112*Q112,2)</f>
        <v>0</v>
      </c>
      <c r="S112" s="5" t="n">
        <f aca="false">P112-R112</f>
        <v>42</v>
      </c>
      <c r="T112" s="5" t="n">
        <f aca="false">ROUND(S112*Assumptions!$B$2,2)</f>
        <v>2.52</v>
      </c>
      <c r="U112" s="5" t="n">
        <f aca="false">S112+T112</f>
        <v>44.52</v>
      </c>
      <c r="V112" s="5" t="n">
        <v>38.31</v>
      </c>
      <c r="W112" s="5" t="n">
        <f aca="false">U112+V112</f>
        <v>82.83</v>
      </c>
      <c r="X112" s="2" t="s">
        <v>46</v>
      </c>
      <c r="Y112" s="2" t="s">
        <v>64</v>
      </c>
    </row>
    <row r="113" customFormat="false" ht="15" hidden="false" customHeight="false" outlineLevel="0" collapsed="false">
      <c r="A113" s="2" t="s">
        <v>99</v>
      </c>
      <c r="B113" s="2" t="s">
        <v>114</v>
      </c>
      <c r="C113" s="2" t="s">
        <v>121</v>
      </c>
      <c r="D113" s="2" t="s">
        <v>124</v>
      </c>
      <c r="E113" s="3" t="n">
        <v>41395</v>
      </c>
      <c r="F113" s="4" t="n">
        <v>46029</v>
      </c>
      <c r="G113" s="4"/>
      <c r="H113" s="3" t="str">
        <f aca="false">IF(G113="","",G113-F113)</f>
        <v/>
      </c>
      <c r="I113" s="2" t="s">
        <v>103</v>
      </c>
      <c r="J113" s="2" t="s">
        <v>42</v>
      </c>
      <c r="K113" s="2" t="s">
        <v>59</v>
      </c>
      <c r="L113" s="2" t="s">
        <v>82</v>
      </c>
      <c r="M113" s="2" t="s">
        <v>83</v>
      </c>
      <c r="N113" s="3" t="n">
        <v>50</v>
      </c>
      <c r="O113" s="5" t="n">
        <v>99</v>
      </c>
      <c r="P113" s="5" t="n">
        <f aca="false">N113*O113</f>
        <v>4950</v>
      </c>
      <c r="Q113" s="6" t="n">
        <v>0</v>
      </c>
      <c r="R113" s="5" t="n">
        <f aca="false">ROUND(P113*Q113,2)</f>
        <v>0</v>
      </c>
      <c r="S113" s="5" t="n">
        <f aca="false">P113-R113</f>
        <v>4950</v>
      </c>
      <c r="T113" s="5" t="n">
        <f aca="false">ROUND(S113*Assumptions!$B$2,2)</f>
        <v>297</v>
      </c>
      <c r="U113" s="5" t="n">
        <f aca="false">S113+T113</f>
        <v>5247</v>
      </c>
      <c r="V113" s="5" t="n">
        <v>30.52</v>
      </c>
      <c r="W113" s="5" t="n">
        <f aca="false">U113+V113</f>
        <v>5277.52</v>
      </c>
      <c r="X113" s="2" t="s">
        <v>39</v>
      </c>
      <c r="Y113" s="2" t="s">
        <v>73</v>
      </c>
    </row>
    <row r="114" customFormat="false" ht="15" hidden="false" customHeight="false" outlineLevel="0" collapsed="false">
      <c r="A114" s="2" t="s">
        <v>99</v>
      </c>
      <c r="B114" s="2" t="s">
        <v>114</v>
      </c>
      <c r="C114" s="2" t="s">
        <v>121</v>
      </c>
      <c r="D114" s="2" t="s">
        <v>124</v>
      </c>
      <c r="E114" s="3" t="n">
        <v>41400</v>
      </c>
      <c r="F114" s="4" t="n">
        <v>46076</v>
      </c>
      <c r="G114" s="4"/>
      <c r="H114" s="3" t="str">
        <f aca="false">IF(G114="","",G114-F114)</f>
        <v/>
      </c>
      <c r="I114" s="2" t="s">
        <v>103</v>
      </c>
      <c r="J114" s="2" t="s">
        <v>30</v>
      </c>
      <c r="K114" s="2" t="s">
        <v>31</v>
      </c>
      <c r="L114" s="2" t="s">
        <v>62</v>
      </c>
      <c r="M114" s="2" t="s">
        <v>63</v>
      </c>
      <c r="N114" s="3" t="n">
        <v>50</v>
      </c>
      <c r="O114" s="5" t="n">
        <v>19.5</v>
      </c>
      <c r="P114" s="5" t="n">
        <f aca="false">N114*O114</f>
        <v>975</v>
      </c>
      <c r="Q114" s="6" t="n">
        <v>0.05</v>
      </c>
      <c r="R114" s="5" t="n">
        <f aca="false">ROUND(P114*Q114,2)</f>
        <v>48.75</v>
      </c>
      <c r="S114" s="5" t="n">
        <f aca="false">P114-R114</f>
        <v>926.25</v>
      </c>
      <c r="T114" s="5" t="n">
        <f aca="false">ROUND(S114*Assumptions!$B$2,2)</f>
        <v>55.58</v>
      </c>
      <c r="U114" s="5" t="n">
        <f aca="false">S114+T114</f>
        <v>981.83</v>
      </c>
      <c r="V114" s="5" t="n">
        <v>17.68</v>
      </c>
      <c r="W114" s="5" t="n">
        <f aca="false">U114+V114</f>
        <v>999.51</v>
      </c>
      <c r="X114" s="2" t="s">
        <v>39</v>
      </c>
      <c r="Y114" s="2" t="s">
        <v>47</v>
      </c>
    </row>
    <row r="115" customFormat="false" ht="15" hidden="false" customHeight="false" outlineLevel="0" collapsed="false">
      <c r="A115" s="2" t="s">
        <v>99</v>
      </c>
      <c r="B115" s="2" t="s">
        <v>114</v>
      </c>
      <c r="C115" s="2" t="s">
        <v>121</v>
      </c>
      <c r="D115" s="2" t="s">
        <v>124</v>
      </c>
      <c r="E115" s="3" t="n">
        <v>41405</v>
      </c>
      <c r="F115" s="4" t="n">
        <v>46073</v>
      </c>
      <c r="G115" s="4" t="n">
        <v>46081</v>
      </c>
      <c r="H115" s="3" t="n">
        <f aca="false">IF(G115="","",G115-F115)</f>
        <v>8</v>
      </c>
      <c r="I115" s="2" t="s">
        <v>103</v>
      </c>
      <c r="J115" s="2" t="s">
        <v>42</v>
      </c>
      <c r="K115" s="2" t="s">
        <v>59</v>
      </c>
      <c r="L115" s="2" t="s">
        <v>75</v>
      </c>
      <c r="M115" s="2" t="s">
        <v>76</v>
      </c>
      <c r="N115" s="3" t="n">
        <v>40</v>
      </c>
      <c r="O115" s="5" t="n">
        <v>129</v>
      </c>
      <c r="P115" s="5" t="n">
        <f aca="false">N115*O115</f>
        <v>5160</v>
      </c>
      <c r="Q115" s="6" t="n">
        <v>0</v>
      </c>
      <c r="R115" s="5" t="n">
        <f aca="false">ROUND(P115*Q115,2)</f>
        <v>0</v>
      </c>
      <c r="S115" s="5" t="n">
        <f aca="false">P115-R115</f>
        <v>5160</v>
      </c>
      <c r="T115" s="5" t="n">
        <f aca="false">ROUND(S115*Assumptions!$B$2,2)</f>
        <v>309.6</v>
      </c>
      <c r="U115" s="5" t="n">
        <f aca="false">S115+T115</f>
        <v>5469.6</v>
      </c>
      <c r="V115" s="5" t="n">
        <v>27.04</v>
      </c>
      <c r="W115" s="5" t="n">
        <f aca="false">U115+V115</f>
        <v>5496.64</v>
      </c>
      <c r="X115" s="2" t="s">
        <v>46</v>
      </c>
      <c r="Y115" s="2"/>
    </row>
    <row r="116" customFormat="false" ht="15" hidden="false" customHeight="false" outlineLevel="0" collapsed="false">
      <c r="A116" s="2" t="s">
        <v>125</v>
      </c>
      <c r="B116" s="2" t="s">
        <v>126</v>
      </c>
      <c r="C116" s="2" t="s">
        <v>127</v>
      </c>
      <c r="D116" s="2" t="s">
        <v>128</v>
      </c>
      <c r="E116" s="3" t="n">
        <v>41411</v>
      </c>
      <c r="F116" s="4" t="n">
        <v>46138</v>
      </c>
      <c r="G116" s="4" t="n">
        <v>46141</v>
      </c>
      <c r="H116" s="3" t="n">
        <f aca="false">IF(G116="","",G116-F116)</f>
        <v>3</v>
      </c>
      <c r="I116" s="2" t="s">
        <v>129</v>
      </c>
      <c r="J116" s="2" t="s">
        <v>35</v>
      </c>
      <c r="K116" s="2" t="s">
        <v>59</v>
      </c>
      <c r="L116" s="2" t="s">
        <v>60</v>
      </c>
      <c r="M116" s="2" t="s">
        <v>61</v>
      </c>
      <c r="N116" s="3" t="n">
        <v>4</v>
      </c>
      <c r="O116" s="5" t="n">
        <v>64.5</v>
      </c>
      <c r="P116" s="5" t="n">
        <f aca="false">N116*O116</f>
        <v>258</v>
      </c>
      <c r="Q116" s="6" t="n">
        <v>0</v>
      </c>
      <c r="R116" s="5" t="n">
        <f aca="false">ROUND(P116*Q116,2)</f>
        <v>0</v>
      </c>
      <c r="S116" s="5" t="n">
        <f aca="false">P116-R116</f>
        <v>258</v>
      </c>
      <c r="T116" s="5" t="n">
        <f aca="false">ROUND(S116*Assumptions!$B$2,2)</f>
        <v>15.48</v>
      </c>
      <c r="U116" s="5" t="n">
        <f aca="false">S116+T116</f>
        <v>273.48</v>
      </c>
      <c r="V116" s="5" t="n">
        <v>19.72</v>
      </c>
      <c r="W116" s="5" t="n">
        <f aca="false">U116+V116</f>
        <v>293.2</v>
      </c>
      <c r="X116" s="2" t="s">
        <v>46</v>
      </c>
      <c r="Y116" s="2" t="s">
        <v>84</v>
      </c>
    </row>
    <row r="117" customFormat="false" ht="15" hidden="false" customHeight="false" outlineLevel="0" collapsed="false">
      <c r="A117" s="2" t="s">
        <v>125</v>
      </c>
      <c r="B117" s="2" t="s">
        <v>126</v>
      </c>
      <c r="C117" s="2" t="s">
        <v>127</v>
      </c>
      <c r="D117" s="2" t="s">
        <v>128</v>
      </c>
      <c r="E117" s="3" t="n">
        <v>41415</v>
      </c>
      <c r="F117" s="4" t="n">
        <v>46112</v>
      </c>
      <c r="G117" s="4" t="n">
        <v>46120</v>
      </c>
      <c r="H117" s="3" t="n">
        <f aca="false">IF(G117="","",G117-F117)</f>
        <v>8</v>
      </c>
      <c r="I117" s="2" t="s">
        <v>129</v>
      </c>
      <c r="J117" s="2" t="s">
        <v>30</v>
      </c>
      <c r="K117" s="2" t="s">
        <v>59</v>
      </c>
      <c r="L117" s="2" t="s">
        <v>82</v>
      </c>
      <c r="M117" s="2" t="s">
        <v>83</v>
      </c>
      <c r="N117" s="3" t="n">
        <v>6</v>
      </c>
      <c r="O117" s="5" t="n">
        <v>99</v>
      </c>
      <c r="P117" s="5" t="n">
        <f aca="false">N117*O117</f>
        <v>594</v>
      </c>
      <c r="Q117" s="6" t="n">
        <v>0</v>
      </c>
      <c r="R117" s="5" t="n">
        <f aca="false">ROUND(P117*Q117,2)</f>
        <v>0</v>
      </c>
      <c r="S117" s="5" t="n">
        <f aca="false">P117-R117</f>
        <v>594</v>
      </c>
      <c r="T117" s="5" t="n">
        <f aca="false">ROUND(S117*Assumptions!$B$2,2)</f>
        <v>35.64</v>
      </c>
      <c r="U117" s="5" t="n">
        <f aca="false">S117+T117</f>
        <v>629.64</v>
      </c>
      <c r="V117" s="5" t="n">
        <v>16.15</v>
      </c>
      <c r="W117" s="5" t="n">
        <f aca="false">U117+V117</f>
        <v>645.79</v>
      </c>
      <c r="X117" s="2" t="s">
        <v>34</v>
      </c>
      <c r="Y117" s="2" t="s">
        <v>67</v>
      </c>
    </row>
    <row r="118" customFormat="false" ht="15" hidden="false" customHeight="false" outlineLevel="0" collapsed="false">
      <c r="A118" s="2" t="s">
        <v>125</v>
      </c>
      <c r="B118" s="2" t="s">
        <v>126</v>
      </c>
      <c r="C118" s="2" t="s">
        <v>127</v>
      </c>
      <c r="D118" s="2" t="s">
        <v>128</v>
      </c>
      <c r="E118" s="3" t="n">
        <v>41418</v>
      </c>
      <c r="F118" s="4" t="n">
        <v>46115</v>
      </c>
      <c r="G118" s="4" t="n">
        <v>46118</v>
      </c>
      <c r="H118" s="3" t="n">
        <f aca="false">IF(G118="","",G118-F118)</f>
        <v>3</v>
      </c>
      <c r="I118" s="2" t="s">
        <v>130</v>
      </c>
      <c r="J118" s="2" t="s">
        <v>42</v>
      </c>
      <c r="K118" s="2" t="s">
        <v>48</v>
      </c>
      <c r="L118" s="2" t="s">
        <v>54</v>
      </c>
      <c r="M118" s="2" t="s">
        <v>55</v>
      </c>
      <c r="N118" s="3" t="n">
        <v>2</v>
      </c>
      <c r="O118" s="5" t="n">
        <v>22.75</v>
      </c>
      <c r="P118" s="5" t="n">
        <f aca="false">N118*O118</f>
        <v>45.5</v>
      </c>
      <c r="Q118" s="6" t="n">
        <v>0</v>
      </c>
      <c r="R118" s="5" t="n">
        <f aca="false">ROUND(P118*Q118,2)</f>
        <v>0</v>
      </c>
      <c r="S118" s="5" t="n">
        <f aca="false">P118-R118</f>
        <v>45.5</v>
      </c>
      <c r="T118" s="5" t="n">
        <f aca="false">ROUND(S118*Assumptions!$B$2,2)</f>
        <v>2.73</v>
      </c>
      <c r="U118" s="5" t="n">
        <f aca="false">S118+T118</f>
        <v>48.23</v>
      </c>
      <c r="V118" s="5" t="n">
        <v>5.11</v>
      </c>
      <c r="W118" s="5" t="n">
        <f aca="false">U118+V118</f>
        <v>53.34</v>
      </c>
      <c r="X118" s="2" t="s">
        <v>46</v>
      </c>
      <c r="Y118" s="2"/>
    </row>
    <row r="119" customFormat="false" ht="15" hidden="false" customHeight="false" outlineLevel="0" collapsed="false">
      <c r="A119" s="2" t="s">
        <v>125</v>
      </c>
      <c r="B119" s="2" t="s">
        <v>126</v>
      </c>
      <c r="C119" s="2" t="s">
        <v>127</v>
      </c>
      <c r="D119" s="2" t="s">
        <v>131</v>
      </c>
      <c r="E119" s="3" t="n">
        <v>41421</v>
      </c>
      <c r="F119" s="4" t="n">
        <v>46204</v>
      </c>
      <c r="G119" s="4"/>
      <c r="H119" s="3" t="str">
        <f aca="false">IF(G119="","",G119-F119)</f>
        <v/>
      </c>
      <c r="I119" s="2" t="s">
        <v>129</v>
      </c>
      <c r="J119" s="2" t="s">
        <v>30</v>
      </c>
      <c r="K119" s="2" t="s">
        <v>48</v>
      </c>
      <c r="L119" s="2" t="s">
        <v>49</v>
      </c>
      <c r="M119" s="2" t="s">
        <v>50</v>
      </c>
      <c r="N119" s="3" t="n">
        <v>3</v>
      </c>
      <c r="O119" s="5" t="n">
        <v>31.9</v>
      </c>
      <c r="P119" s="5" t="n">
        <f aca="false">N119*O119</f>
        <v>95.7</v>
      </c>
      <c r="Q119" s="6" t="n">
        <v>0.05</v>
      </c>
      <c r="R119" s="5" t="n">
        <f aca="false">ROUND(P119*Q119,2)</f>
        <v>4.79</v>
      </c>
      <c r="S119" s="5" t="n">
        <f aca="false">P119-R119</f>
        <v>90.91</v>
      </c>
      <c r="T119" s="5" t="n">
        <f aca="false">ROUND(S119*Assumptions!$B$2,2)</f>
        <v>5.45</v>
      </c>
      <c r="U119" s="5" t="n">
        <f aca="false">S119+T119</f>
        <v>96.36</v>
      </c>
      <c r="V119" s="5" t="n">
        <v>9.42</v>
      </c>
      <c r="W119" s="5" t="n">
        <f aca="false">U119+V119</f>
        <v>105.78</v>
      </c>
      <c r="X119" s="2" t="s">
        <v>39</v>
      </c>
      <c r="Y119" s="2" t="s">
        <v>67</v>
      </c>
    </row>
    <row r="120" customFormat="false" ht="15" hidden="false" customHeight="false" outlineLevel="0" collapsed="false">
      <c r="A120" s="2" t="s">
        <v>125</v>
      </c>
      <c r="B120" s="2" t="s">
        <v>126</v>
      </c>
      <c r="C120" s="2" t="s">
        <v>127</v>
      </c>
      <c r="D120" s="2" t="s">
        <v>131</v>
      </c>
      <c r="E120" s="3" t="n">
        <v>41424</v>
      </c>
      <c r="F120" s="4" t="n">
        <v>46219</v>
      </c>
      <c r="G120" s="4" t="n">
        <v>46223</v>
      </c>
      <c r="H120" s="3" t="n">
        <f aca="false">IF(G120="","",G120-F120)</f>
        <v>4</v>
      </c>
      <c r="I120" s="2" t="s">
        <v>130</v>
      </c>
      <c r="J120" s="2" t="s">
        <v>42</v>
      </c>
      <c r="K120" s="2" t="s">
        <v>48</v>
      </c>
      <c r="L120" s="2" t="s">
        <v>77</v>
      </c>
      <c r="M120" s="2" t="s">
        <v>78</v>
      </c>
      <c r="N120" s="3" t="n">
        <v>25</v>
      </c>
      <c r="O120" s="5" t="n">
        <v>18.4</v>
      </c>
      <c r="P120" s="5" t="n">
        <f aca="false">N120*O120</f>
        <v>460</v>
      </c>
      <c r="Q120" s="6" t="n">
        <v>0.05</v>
      </c>
      <c r="R120" s="5" t="n">
        <f aca="false">ROUND(P120*Q120,2)</f>
        <v>23</v>
      </c>
      <c r="S120" s="5" t="n">
        <f aca="false">P120-R120</f>
        <v>437</v>
      </c>
      <c r="T120" s="5" t="n">
        <f aca="false">ROUND(S120*Assumptions!$B$2,2)</f>
        <v>26.22</v>
      </c>
      <c r="U120" s="5" t="n">
        <f aca="false">S120+T120</f>
        <v>463.22</v>
      </c>
      <c r="V120" s="5" t="n">
        <v>12.89</v>
      </c>
      <c r="W120" s="5" t="n">
        <f aca="false">U120+V120</f>
        <v>476.11</v>
      </c>
      <c r="X120" s="2" t="s">
        <v>34</v>
      </c>
      <c r="Y120" s="2" t="s">
        <v>47</v>
      </c>
    </row>
    <row r="121" customFormat="false" ht="15" hidden="false" customHeight="false" outlineLevel="0" collapsed="false">
      <c r="A121" s="2" t="s">
        <v>125</v>
      </c>
      <c r="B121" s="2" t="s">
        <v>126</v>
      </c>
      <c r="C121" s="2" t="s">
        <v>127</v>
      </c>
      <c r="D121" s="2" t="s">
        <v>131</v>
      </c>
      <c r="E121" s="3" t="n">
        <v>41430</v>
      </c>
      <c r="F121" s="4" t="n">
        <v>46242</v>
      </c>
      <c r="G121" s="4"/>
      <c r="H121" s="3" t="str">
        <f aca="false">IF(G121="","",G121-F121)</f>
        <v/>
      </c>
      <c r="I121" s="2" t="s">
        <v>129</v>
      </c>
      <c r="J121" s="2" t="s">
        <v>35</v>
      </c>
      <c r="K121" s="2" t="s">
        <v>31</v>
      </c>
      <c r="L121" s="2" t="s">
        <v>32</v>
      </c>
      <c r="M121" s="2" t="s">
        <v>33</v>
      </c>
      <c r="N121" s="3" t="n">
        <v>25</v>
      </c>
      <c r="O121" s="5" t="n">
        <v>14.25</v>
      </c>
      <c r="P121" s="5" t="n">
        <f aca="false">N121*O121</f>
        <v>356.25</v>
      </c>
      <c r="Q121" s="6" t="n">
        <v>0</v>
      </c>
      <c r="R121" s="5" t="n">
        <f aca="false">ROUND(P121*Q121,2)</f>
        <v>0</v>
      </c>
      <c r="S121" s="5" t="n">
        <f aca="false">P121-R121</f>
        <v>356.25</v>
      </c>
      <c r="T121" s="5" t="n">
        <f aca="false">ROUND(S121*Assumptions!$B$2,2)</f>
        <v>21.38</v>
      </c>
      <c r="U121" s="5" t="n">
        <f aca="false">S121+T121</f>
        <v>377.63</v>
      </c>
      <c r="V121" s="5" t="n">
        <v>25.64</v>
      </c>
      <c r="W121" s="5" t="n">
        <f aca="false">U121+V121</f>
        <v>403.27</v>
      </c>
      <c r="X121" s="2" t="s">
        <v>39</v>
      </c>
      <c r="Y121" s="2" t="s">
        <v>58</v>
      </c>
    </row>
    <row r="122" customFormat="false" ht="15" hidden="false" customHeight="false" outlineLevel="0" collapsed="false">
      <c r="A122" s="2" t="s">
        <v>125</v>
      </c>
      <c r="B122" s="2" t="s">
        <v>126</v>
      </c>
      <c r="C122" s="2" t="s">
        <v>127</v>
      </c>
      <c r="D122" s="2" t="s">
        <v>131</v>
      </c>
      <c r="E122" s="3" t="n">
        <v>41433</v>
      </c>
      <c r="F122" s="4" t="n">
        <v>46084</v>
      </c>
      <c r="G122" s="4" t="n">
        <v>46087</v>
      </c>
      <c r="H122" s="3" t="n">
        <f aca="false">IF(G122="","",G122-F122)</f>
        <v>3</v>
      </c>
      <c r="I122" s="2" t="s">
        <v>129</v>
      </c>
      <c r="J122" s="2" t="s">
        <v>42</v>
      </c>
      <c r="K122" s="2" t="s">
        <v>36</v>
      </c>
      <c r="L122" s="2" t="s">
        <v>93</v>
      </c>
      <c r="M122" s="2" t="s">
        <v>94</v>
      </c>
      <c r="N122" s="3" t="n">
        <v>40</v>
      </c>
      <c r="O122" s="5" t="n">
        <v>16.8</v>
      </c>
      <c r="P122" s="5" t="n">
        <f aca="false">N122*O122</f>
        <v>672</v>
      </c>
      <c r="Q122" s="6" t="n">
        <v>0</v>
      </c>
      <c r="R122" s="5" t="n">
        <f aca="false">ROUND(P122*Q122,2)</f>
        <v>0</v>
      </c>
      <c r="S122" s="5" t="n">
        <f aca="false">P122-R122</f>
        <v>672</v>
      </c>
      <c r="T122" s="5" t="n">
        <f aca="false">ROUND(S122*Assumptions!$B$2,2)</f>
        <v>40.32</v>
      </c>
      <c r="U122" s="5" t="n">
        <f aca="false">S122+T122</f>
        <v>712.32</v>
      </c>
      <c r="V122" s="5" t="n">
        <v>40.85</v>
      </c>
      <c r="W122" s="5" t="n">
        <f aca="false">U122+V122</f>
        <v>753.17</v>
      </c>
      <c r="X122" s="2" t="s">
        <v>46</v>
      </c>
      <c r="Y122" s="2" t="s">
        <v>64</v>
      </c>
    </row>
    <row r="123" customFormat="false" ht="15" hidden="false" customHeight="false" outlineLevel="0" collapsed="false">
      <c r="A123" s="2" t="s">
        <v>125</v>
      </c>
      <c r="B123" s="2" t="s">
        <v>126</v>
      </c>
      <c r="C123" s="2" t="s">
        <v>127</v>
      </c>
      <c r="D123" s="2" t="s">
        <v>131</v>
      </c>
      <c r="E123" s="3" t="n">
        <v>41440</v>
      </c>
      <c r="F123" s="4" t="n">
        <v>46043</v>
      </c>
      <c r="G123" s="4" t="n">
        <v>46052</v>
      </c>
      <c r="H123" s="3" t="n">
        <f aca="false">IF(G123="","",G123-F123)</f>
        <v>9</v>
      </c>
      <c r="I123" s="2" t="s">
        <v>129</v>
      </c>
      <c r="J123" s="2" t="s">
        <v>30</v>
      </c>
      <c r="K123" s="2" t="s">
        <v>36</v>
      </c>
      <c r="L123" s="2" t="s">
        <v>37</v>
      </c>
      <c r="M123" s="2" t="s">
        <v>38</v>
      </c>
      <c r="N123" s="3" t="n">
        <v>3</v>
      </c>
      <c r="O123" s="5" t="n">
        <v>27.6</v>
      </c>
      <c r="P123" s="5" t="n">
        <f aca="false">N123*O123</f>
        <v>82.8</v>
      </c>
      <c r="Q123" s="6" t="n">
        <v>0</v>
      </c>
      <c r="R123" s="5" t="n">
        <f aca="false">ROUND(P123*Q123,2)</f>
        <v>0</v>
      </c>
      <c r="S123" s="5" t="n">
        <f aca="false">P123-R123</f>
        <v>82.8</v>
      </c>
      <c r="T123" s="5" t="n">
        <f aca="false">ROUND(S123*Assumptions!$B$2,2)</f>
        <v>4.97</v>
      </c>
      <c r="U123" s="5" t="n">
        <f aca="false">S123+T123</f>
        <v>87.77</v>
      </c>
      <c r="V123" s="5" t="n">
        <v>18.4</v>
      </c>
      <c r="W123" s="5" t="n">
        <f aca="false">U123+V123</f>
        <v>106.17</v>
      </c>
      <c r="X123" s="2" t="s">
        <v>46</v>
      </c>
      <c r="Y123" s="2" t="s">
        <v>58</v>
      </c>
    </row>
    <row r="124" customFormat="false" ht="15" hidden="false" customHeight="false" outlineLevel="0" collapsed="false">
      <c r="A124" s="2" t="s">
        <v>125</v>
      </c>
      <c r="B124" s="2" t="s">
        <v>126</v>
      </c>
      <c r="C124" s="2" t="s">
        <v>127</v>
      </c>
      <c r="D124" s="2" t="s">
        <v>131</v>
      </c>
      <c r="E124" s="3" t="n">
        <v>41445</v>
      </c>
      <c r="F124" s="4" t="n">
        <v>46160</v>
      </c>
      <c r="G124" s="4" t="n">
        <v>46162</v>
      </c>
      <c r="H124" s="3" t="n">
        <f aca="false">IF(G124="","",G124-F124)</f>
        <v>2</v>
      </c>
      <c r="I124" s="2" t="s">
        <v>130</v>
      </c>
      <c r="J124" s="2" t="s">
        <v>42</v>
      </c>
      <c r="K124" s="2" t="s">
        <v>31</v>
      </c>
      <c r="L124" s="2" t="s">
        <v>62</v>
      </c>
      <c r="M124" s="2" t="s">
        <v>63</v>
      </c>
      <c r="N124" s="3" t="n">
        <v>15</v>
      </c>
      <c r="O124" s="5" t="n">
        <v>19.5</v>
      </c>
      <c r="P124" s="5" t="n">
        <f aca="false">N124*O124</f>
        <v>292.5</v>
      </c>
      <c r="Q124" s="6" t="n">
        <v>0</v>
      </c>
      <c r="R124" s="5" t="n">
        <f aca="false">ROUND(P124*Q124,2)</f>
        <v>0</v>
      </c>
      <c r="S124" s="5" t="n">
        <f aca="false">P124-R124</f>
        <v>292.5</v>
      </c>
      <c r="T124" s="5" t="n">
        <f aca="false">ROUND(S124*Assumptions!$B$2,2)</f>
        <v>17.55</v>
      </c>
      <c r="U124" s="5" t="n">
        <f aca="false">S124+T124</f>
        <v>310.05</v>
      </c>
      <c r="V124" s="5" t="n">
        <v>43.17</v>
      </c>
      <c r="W124" s="5" t="n">
        <f aca="false">U124+V124</f>
        <v>353.22</v>
      </c>
      <c r="X124" s="2" t="s">
        <v>46</v>
      </c>
      <c r="Y124" s="2" t="s">
        <v>58</v>
      </c>
    </row>
    <row r="125" customFormat="false" ht="15" hidden="false" customHeight="false" outlineLevel="0" collapsed="false">
      <c r="A125" s="2" t="s">
        <v>125</v>
      </c>
      <c r="B125" s="2" t="s">
        <v>126</v>
      </c>
      <c r="C125" s="2" t="s">
        <v>127</v>
      </c>
      <c r="D125" s="2" t="s">
        <v>132</v>
      </c>
      <c r="E125" s="3" t="n">
        <v>41448</v>
      </c>
      <c r="F125" s="4" t="n">
        <v>46082</v>
      </c>
      <c r="G125" s="4"/>
      <c r="H125" s="3" t="str">
        <f aca="false">IF(G125="","",G125-F125)</f>
        <v/>
      </c>
      <c r="I125" s="2" t="s">
        <v>129</v>
      </c>
      <c r="J125" s="2" t="s">
        <v>35</v>
      </c>
      <c r="K125" s="2" t="s">
        <v>31</v>
      </c>
      <c r="L125" s="2" t="s">
        <v>62</v>
      </c>
      <c r="M125" s="2" t="s">
        <v>63</v>
      </c>
      <c r="N125" s="3" t="n">
        <v>2</v>
      </c>
      <c r="O125" s="5" t="n">
        <v>19.5</v>
      </c>
      <c r="P125" s="5" t="n">
        <f aca="false">N125*O125</f>
        <v>39</v>
      </c>
      <c r="Q125" s="6" t="n">
        <v>0.1</v>
      </c>
      <c r="R125" s="5" t="n">
        <f aca="false">ROUND(P125*Q125,2)</f>
        <v>3.9</v>
      </c>
      <c r="S125" s="5" t="n">
        <f aca="false">P125-R125</f>
        <v>35.1</v>
      </c>
      <c r="T125" s="5" t="n">
        <f aca="false">ROUND(S125*Assumptions!$B$2,2)</f>
        <v>2.11</v>
      </c>
      <c r="U125" s="5" t="n">
        <f aca="false">S125+T125</f>
        <v>37.21</v>
      </c>
      <c r="V125" s="5" t="n">
        <v>14.2</v>
      </c>
      <c r="W125" s="5" t="n">
        <f aca="false">U125+V125</f>
        <v>51.41</v>
      </c>
      <c r="X125" s="2" t="s">
        <v>39</v>
      </c>
      <c r="Y125" s="2"/>
    </row>
    <row r="126" customFormat="false" ht="15" hidden="false" customHeight="false" outlineLevel="0" collapsed="false">
      <c r="A126" s="2" t="s">
        <v>125</v>
      </c>
      <c r="B126" s="2" t="s">
        <v>126</v>
      </c>
      <c r="C126" s="2" t="s">
        <v>127</v>
      </c>
      <c r="D126" s="2" t="s">
        <v>132</v>
      </c>
      <c r="E126" s="3" t="n">
        <v>41455</v>
      </c>
      <c r="F126" s="4" t="n">
        <v>46048</v>
      </c>
      <c r="G126" s="4"/>
      <c r="H126" s="3" t="str">
        <f aca="false">IF(G126="","",G126-F126)</f>
        <v/>
      </c>
      <c r="I126" s="2" t="s">
        <v>130</v>
      </c>
      <c r="J126" s="2" t="s">
        <v>42</v>
      </c>
      <c r="K126" s="2" t="s">
        <v>48</v>
      </c>
      <c r="L126" s="2" t="s">
        <v>77</v>
      </c>
      <c r="M126" s="2" t="s">
        <v>78</v>
      </c>
      <c r="N126" s="3" t="n">
        <v>6</v>
      </c>
      <c r="O126" s="5" t="n">
        <v>18.4</v>
      </c>
      <c r="P126" s="5" t="n">
        <f aca="false">N126*O126</f>
        <v>110.4</v>
      </c>
      <c r="Q126" s="6" t="n">
        <v>0.15</v>
      </c>
      <c r="R126" s="5" t="n">
        <f aca="false">ROUND(P126*Q126,2)</f>
        <v>16.56</v>
      </c>
      <c r="S126" s="5" t="n">
        <f aca="false">P126-R126</f>
        <v>93.84</v>
      </c>
      <c r="T126" s="5" t="n">
        <f aca="false">ROUND(S126*Assumptions!$B$2,2)</f>
        <v>5.63</v>
      </c>
      <c r="U126" s="5" t="n">
        <f aca="false">S126+T126</f>
        <v>99.47</v>
      </c>
      <c r="V126" s="5" t="n">
        <v>5.02</v>
      </c>
      <c r="W126" s="5" t="n">
        <f aca="false">U126+V126</f>
        <v>104.49</v>
      </c>
      <c r="X126" s="2" t="s">
        <v>39</v>
      </c>
      <c r="Y126" s="2" t="s">
        <v>67</v>
      </c>
    </row>
    <row r="127" customFormat="false" ht="15" hidden="false" customHeight="false" outlineLevel="0" collapsed="false">
      <c r="A127" s="2" t="s">
        <v>125</v>
      </c>
      <c r="B127" s="2" t="s">
        <v>126</v>
      </c>
      <c r="C127" s="2" t="s">
        <v>133</v>
      </c>
      <c r="D127" s="2" t="s">
        <v>92</v>
      </c>
      <c r="E127" s="3" t="n">
        <v>41456</v>
      </c>
      <c r="F127" s="4" t="n">
        <v>46142</v>
      </c>
      <c r="G127" s="4" t="n">
        <v>46143</v>
      </c>
      <c r="H127" s="3" t="n">
        <f aca="false">IF(G127="","",G127-F127)</f>
        <v>1</v>
      </c>
      <c r="I127" s="2" t="s">
        <v>130</v>
      </c>
      <c r="J127" s="2" t="s">
        <v>30</v>
      </c>
      <c r="K127" s="2" t="s">
        <v>59</v>
      </c>
      <c r="L127" s="2" t="s">
        <v>82</v>
      </c>
      <c r="M127" s="2" t="s">
        <v>83</v>
      </c>
      <c r="N127" s="3" t="n">
        <v>12</v>
      </c>
      <c r="O127" s="5" t="n">
        <v>99</v>
      </c>
      <c r="P127" s="5" t="n">
        <f aca="false">N127*O127</f>
        <v>1188</v>
      </c>
      <c r="Q127" s="6" t="n">
        <v>0.05</v>
      </c>
      <c r="R127" s="5" t="n">
        <f aca="false">ROUND(P127*Q127,2)</f>
        <v>59.4</v>
      </c>
      <c r="S127" s="5" t="n">
        <f aca="false">P127-R127</f>
        <v>1128.6</v>
      </c>
      <c r="T127" s="5" t="n">
        <f aca="false">ROUND(S127*Assumptions!$B$2,2)</f>
        <v>67.72</v>
      </c>
      <c r="U127" s="5" t="n">
        <f aca="false">S127+T127</f>
        <v>1196.32</v>
      </c>
      <c r="V127" s="5" t="n">
        <v>1.01</v>
      </c>
      <c r="W127" s="5" t="n">
        <f aca="false">U127+V127</f>
        <v>1197.33</v>
      </c>
      <c r="X127" s="2" t="s">
        <v>34</v>
      </c>
      <c r="Y127" s="2"/>
    </row>
    <row r="128" customFormat="false" ht="15" hidden="false" customHeight="false" outlineLevel="0" collapsed="false">
      <c r="A128" s="2" t="s">
        <v>125</v>
      </c>
      <c r="B128" s="2" t="s">
        <v>126</v>
      </c>
      <c r="C128" s="2" t="s">
        <v>133</v>
      </c>
      <c r="D128" s="2" t="s">
        <v>92</v>
      </c>
      <c r="E128" s="3" t="n">
        <v>41459</v>
      </c>
      <c r="F128" s="4" t="n">
        <v>46079</v>
      </c>
      <c r="G128" s="4" t="n">
        <v>46087</v>
      </c>
      <c r="H128" s="3" t="n">
        <f aca="false">IF(G128="","",G128-F128)</f>
        <v>8</v>
      </c>
      <c r="I128" s="2" t="s">
        <v>129</v>
      </c>
      <c r="J128" s="2" t="s">
        <v>35</v>
      </c>
      <c r="K128" s="2" t="s">
        <v>31</v>
      </c>
      <c r="L128" s="2" t="s">
        <v>32</v>
      </c>
      <c r="M128" s="2" t="s">
        <v>33</v>
      </c>
      <c r="N128" s="3" t="n">
        <v>2</v>
      </c>
      <c r="O128" s="5" t="n">
        <v>14.25</v>
      </c>
      <c r="P128" s="5" t="n">
        <f aca="false">N128*O128</f>
        <v>28.5</v>
      </c>
      <c r="Q128" s="6" t="n">
        <v>0.15</v>
      </c>
      <c r="R128" s="5" t="n">
        <f aca="false">ROUND(P128*Q128,2)</f>
        <v>4.28</v>
      </c>
      <c r="S128" s="5" t="n">
        <f aca="false">P128-R128</f>
        <v>24.22</v>
      </c>
      <c r="T128" s="5" t="n">
        <f aca="false">ROUND(S128*Assumptions!$B$2,2)</f>
        <v>1.45</v>
      </c>
      <c r="U128" s="5" t="n">
        <f aca="false">S128+T128</f>
        <v>25.67</v>
      </c>
      <c r="V128" s="5" t="n">
        <v>7.39</v>
      </c>
      <c r="W128" s="5" t="n">
        <f aca="false">U128+V128</f>
        <v>33.06</v>
      </c>
      <c r="X128" s="2" t="s">
        <v>46</v>
      </c>
      <c r="Y128" s="2"/>
    </row>
    <row r="129" customFormat="false" ht="15" hidden="false" customHeight="false" outlineLevel="0" collapsed="false">
      <c r="A129" s="2" t="s">
        <v>125</v>
      </c>
      <c r="B129" s="2" t="s">
        <v>126</v>
      </c>
      <c r="C129" s="2" t="s">
        <v>133</v>
      </c>
      <c r="D129" s="2" t="s">
        <v>92</v>
      </c>
      <c r="E129" s="3" t="n">
        <v>41465</v>
      </c>
      <c r="F129" s="4" t="n">
        <v>46128</v>
      </c>
      <c r="G129" s="4" t="n">
        <v>46134</v>
      </c>
      <c r="H129" s="3" t="n">
        <f aca="false">IF(G129="","",G129-F129)</f>
        <v>6</v>
      </c>
      <c r="I129" s="2" t="s">
        <v>129</v>
      </c>
      <c r="J129" s="2" t="s">
        <v>35</v>
      </c>
      <c r="K129" s="2" t="s">
        <v>48</v>
      </c>
      <c r="L129" s="2" t="s">
        <v>54</v>
      </c>
      <c r="M129" s="2" t="s">
        <v>55</v>
      </c>
      <c r="N129" s="3" t="n">
        <v>50</v>
      </c>
      <c r="O129" s="5" t="n">
        <v>22.75</v>
      </c>
      <c r="P129" s="5" t="n">
        <f aca="false">N129*O129</f>
        <v>1137.5</v>
      </c>
      <c r="Q129" s="6" t="n">
        <v>0</v>
      </c>
      <c r="R129" s="5" t="n">
        <f aca="false">ROUND(P129*Q129,2)</f>
        <v>0</v>
      </c>
      <c r="S129" s="5" t="n">
        <f aca="false">P129-R129</f>
        <v>1137.5</v>
      </c>
      <c r="T129" s="5" t="n">
        <f aca="false">ROUND(S129*Assumptions!$B$2,2)</f>
        <v>68.25</v>
      </c>
      <c r="U129" s="5" t="n">
        <f aca="false">S129+T129</f>
        <v>1205.75</v>
      </c>
      <c r="V129" s="5" t="n">
        <v>29.45</v>
      </c>
      <c r="W129" s="5" t="n">
        <f aca="false">U129+V129</f>
        <v>1235.2</v>
      </c>
      <c r="X129" s="2" t="s">
        <v>46</v>
      </c>
      <c r="Y129" s="2" t="s">
        <v>67</v>
      </c>
    </row>
    <row r="130" customFormat="false" ht="15" hidden="false" customHeight="false" outlineLevel="0" collapsed="false">
      <c r="A130" s="2" t="s">
        <v>125</v>
      </c>
      <c r="B130" s="2" t="s">
        <v>126</v>
      </c>
      <c r="C130" s="2" t="s">
        <v>133</v>
      </c>
      <c r="D130" s="2" t="s">
        <v>92</v>
      </c>
      <c r="E130" s="3" t="n">
        <v>41471</v>
      </c>
      <c r="F130" s="4" t="n">
        <v>46041</v>
      </c>
      <c r="G130" s="4" t="n">
        <v>46046</v>
      </c>
      <c r="H130" s="3" t="n">
        <f aca="false">IF(G130="","",G130-F130)</f>
        <v>5</v>
      </c>
      <c r="I130" s="2" t="s">
        <v>129</v>
      </c>
      <c r="J130" s="2" t="s">
        <v>30</v>
      </c>
      <c r="K130" s="2" t="s">
        <v>36</v>
      </c>
      <c r="L130" s="2" t="s">
        <v>37</v>
      </c>
      <c r="M130" s="2" t="s">
        <v>38</v>
      </c>
      <c r="N130" s="3" t="n">
        <v>15</v>
      </c>
      <c r="O130" s="5" t="n">
        <v>27.6</v>
      </c>
      <c r="P130" s="5" t="n">
        <f aca="false">N130*O130</f>
        <v>414</v>
      </c>
      <c r="Q130" s="6" t="n">
        <v>0.15</v>
      </c>
      <c r="R130" s="5" t="n">
        <f aca="false">ROUND(P130*Q130,2)</f>
        <v>62.1</v>
      </c>
      <c r="S130" s="5" t="n">
        <f aca="false">P130-R130</f>
        <v>351.9</v>
      </c>
      <c r="T130" s="5" t="n">
        <f aca="false">ROUND(S130*Assumptions!$B$2,2)</f>
        <v>21.11</v>
      </c>
      <c r="U130" s="5" t="n">
        <f aca="false">S130+T130</f>
        <v>373.01</v>
      </c>
      <c r="V130" s="5" t="n">
        <v>39.3</v>
      </c>
      <c r="W130" s="5" t="n">
        <f aca="false">U130+V130</f>
        <v>412.31</v>
      </c>
      <c r="X130" s="2" t="s">
        <v>46</v>
      </c>
      <c r="Y130" s="2" t="s">
        <v>64</v>
      </c>
    </row>
    <row r="131" customFormat="false" ht="15" hidden="false" customHeight="false" outlineLevel="0" collapsed="false">
      <c r="A131" s="2" t="s">
        <v>125</v>
      </c>
      <c r="B131" s="2" t="s">
        <v>126</v>
      </c>
      <c r="C131" s="2" t="s">
        <v>133</v>
      </c>
      <c r="D131" s="2" t="s">
        <v>92</v>
      </c>
      <c r="E131" s="3" t="n">
        <v>41478</v>
      </c>
      <c r="F131" s="4" t="n">
        <v>46134</v>
      </c>
      <c r="G131" s="4"/>
      <c r="H131" s="3" t="str">
        <f aca="false">IF(G131="","",G131-F131)</f>
        <v/>
      </c>
      <c r="I131" s="2" t="s">
        <v>130</v>
      </c>
      <c r="J131" s="2" t="s">
        <v>35</v>
      </c>
      <c r="K131" s="2" t="s">
        <v>31</v>
      </c>
      <c r="L131" s="2" t="s">
        <v>71</v>
      </c>
      <c r="M131" s="2" t="s">
        <v>72</v>
      </c>
      <c r="N131" s="3" t="n">
        <v>1</v>
      </c>
      <c r="O131" s="5" t="n">
        <v>34.99</v>
      </c>
      <c r="P131" s="5" t="n">
        <f aca="false">N131*O131</f>
        <v>34.99</v>
      </c>
      <c r="Q131" s="6" t="n">
        <v>0.15</v>
      </c>
      <c r="R131" s="5" t="n">
        <f aca="false">ROUND(P131*Q131,2)</f>
        <v>5.25</v>
      </c>
      <c r="S131" s="5" t="n">
        <f aca="false">P131-R131</f>
        <v>29.74</v>
      </c>
      <c r="T131" s="5" t="n">
        <f aca="false">ROUND(S131*Assumptions!$B$2,2)</f>
        <v>1.78</v>
      </c>
      <c r="U131" s="5" t="n">
        <f aca="false">S131+T131</f>
        <v>31.52</v>
      </c>
      <c r="V131" s="5" t="n">
        <v>43.41</v>
      </c>
      <c r="W131" s="5" t="n">
        <f aca="false">U131+V131</f>
        <v>74.93</v>
      </c>
      <c r="X131" s="2" t="s">
        <v>39</v>
      </c>
      <c r="Y131" s="2"/>
    </row>
    <row r="132" customFormat="false" ht="15" hidden="false" customHeight="false" outlineLevel="0" collapsed="false">
      <c r="A132" s="2" t="s">
        <v>125</v>
      </c>
      <c r="B132" s="2" t="s">
        <v>126</v>
      </c>
      <c r="C132" s="2" t="s">
        <v>133</v>
      </c>
      <c r="D132" s="2" t="s">
        <v>92</v>
      </c>
      <c r="E132" s="3" t="n">
        <v>41484</v>
      </c>
      <c r="F132" s="4" t="n">
        <v>46062</v>
      </c>
      <c r="G132" s="4" t="n">
        <v>46067</v>
      </c>
      <c r="H132" s="3" t="n">
        <f aca="false">IF(G132="","",G132-F132)</f>
        <v>5</v>
      </c>
      <c r="I132" s="2" t="s">
        <v>129</v>
      </c>
      <c r="J132" s="2" t="s">
        <v>42</v>
      </c>
      <c r="K132" s="2" t="s">
        <v>36</v>
      </c>
      <c r="L132" s="2" t="s">
        <v>37</v>
      </c>
      <c r="M132" s="2" t="s">
        <v>38</v>
      </c>
      <c r="N132" s="3" t="n">
        <v>30</v>
      </c>
      <c r="O132" s="5" t="n">
        <v>27.6</v>
      </c>
      <c r="P132" s="5" t="n">
        <f aca="false">N132*O132</f>
        <v>828</v>
      </c>
      <c r="Q132" s="6" t="n">
        <v>0</v>
      </c>
      <c r="R132" s="5" t="n">
        <f aca="false">ROUND(P132*Q132,2)</f>
        <v>0</v>
      </c>
      <c r="S132" s="5" t="n">
        <f aca="false">P132-R132</f>
        <v>828</v>
      </c>
      <c r="T132" s="5" t="n">
        <f aca="false">ROUND(S132*Assumptions!$B$2,2)</f>
        <v>49.68</v>
      </c>
      <c r="U132" s="5" t="n">
        <f aca="false">S132+T132</f>
        <v>877.68</v>
      </c>
      <c r="V132" s="5" t="n">
        <v>13.55</v>
      </c>
      <c r="W132" s="5" t="n">
        <f aca="false">U132+V132</f>
        <v>891.23</v>
      </c>
      <c r="X132" s="2" t="s">
        <v>46</v>
      </c>
      <c r="Y132" s="2"/>
    </row>
    <row r="133" customFormat="false" ht="15" hidden="false" customHeight="false" outlineLevel="0" collapsed="false">
      <c r="A133" s="2" t="s">
        <v>125</v>
      </c>
      <c r="B133" s="2" t="s">
        <v>126</v>
      </c>
      <c r="C133" s="2" t="s">
        <v>133</v>
      </c>
      <c r="D133" s="2" t="s">
        <v>134</v>
      </c>
      <c r="E133" s="3" t="n">
        <v>41486</v>
      </c>
      <c r="F133" s="4" t="n">
        <v>46050</v>
      </c>
      <c r="G133" s="4" t="n">
        <v>46056</v>
      </c>
      <c r="H133" s="3" t="n">
        <f aca="false">IF(G133="","",G133-F133)</f>
        <v>6</v>
      </c>
      <c r="I133" s="2" t="s">
        <v>129</v>
      </c>
      <c r="J133" s="2" t="s">
        <v>42</v>
      </c>
      <c r="K133" s="2" t="s">
        <v>59</v>
      </c>
      <c r="L133" s="2" t="s">
        <v>75</v>
      </c>
      <c r="M133" s="2" t="s">
        <v>76</v>
      </c>
      <c r="N133" s="3" t="n">
        <v>40</v>
      </c>
      <c r="O133" s="5" t="n">
        <v>129</v>
      </c>
      <c r="P133" s="5" t="n">
        <f aca="false">N133*O133</f>
        <v>5160</v>
      </c>
      <c r="Q133" s="6" t="n">
        <v>0.05</v>
      </c>
      <c r="R133" s="5" t="n">
        <f aca="false">ROUND(P133*Q133,2)</f>
        <v>258</v>
      </c>
      <c r="S133" s="5" t="n">
        <f aca="false">P133-R133</f>
        <v>4902</v>
      </c>
      <c r="T133" s="5" t="n">
        <f aca="false">ROUND(S133*Assumptions!$B$2,2)</f>
        <v>294.12</v>
      </c>
      <c r="U133" s="5" t="n">
        <f aca="false">S133+T133</f>
        <v>5196.12</v>
      </c>
      <c r="V133" s="5" t="n">
        <v>29.59</v>
      </c>
      <c r="W133" s="5" t="n">
        <f aca="false">U133+V133</f>
        <v>5225.71</v>
      </c>
      <c r="X133" s="2" t="s">
        <v>46</v>
      </c>
      <c r="Y133" s="2" t="s">
        <v>84</v>
      </c>
    </row>
    <row r="134" customFormat="false" ht="15" hidden="false" customHeight="false" outlineLevel="0" collapsed="false">
      <c r="A134" s="2" t="s">
        <v>125</v>
      </c>
      <c r="B134" s="2" t="s">
        <v>126</v>
      </c>
      <c r="C134" s="2" t="s">
        <v>133</v>
      </c>
      <c r="D134" s="2" t="s">
        <v>134</v>
      </c>
      <c r="E134" s="3" t="n">
        <v>41492</v>
      </c>
      <c r="F134" s="4" t="n">
        <v>46243</v>
      </c>
      <c r="G134" s="4" t="n">
        <v>46250</v>
      </c>
      <c r="H134" s="3" t="n">
        <f aca="false">IF(G134="","",G134-F134)</f>
        <v>7</v>
      </c>
      <c r="I134" s="2" t="s">
        <v>129</v>
      </c>
      <c r="J134" s="2" t="s">
        <v>35</v>
      </c>
      <c r="K134" s="2" t="s">
        <v>31</v>
      </c>
      <c r="L134" s="2" t="s">
        <v>62</v>
      </c>
      <c r="M134" s="2" t="s">
        <v>63</v>
      </c>
      <c r="N134" s="3" t="n">
        <v>1</v>
      </c>
      <c r="O134" s="5" t="n">
        <v>19.5</v>
      </c>
      <c r="P134" s="5" t="n">
        <f aca="false">N134*O134</f>
        <v>19.5</v>
      </c>
      <c r="Q134" s="6" t="n">
        <v>0</v>
      </c>
      <c r="R134" s="5" t="n">
        <f aca="false">ROUND(P134*Q134,2)</f>
        <v>0</v>
      </c>
      <c r="S134" s="5" t="n">
        <f aca="false">P134-R134</f>
        <v>19.5</v>
      </c>
      <c r="T134" s="5" t="n">
        <f aca="false">ROUND(S134*Assumptions!$B$2,2)</f>
        <v>1.17</v>
      </c>
      <c r="U134" s="5" t="n">
        <f aca="false">S134+T134</f>
        <v>20.67</v>
      </c>
      <c r="V134" s="5" t="n">
        <v>11.31</v>
      </c>
      <c r="W134" s="5" t="n">
        <f aca="false">U134+V134</f>
        <v>31.98</v>
      </c>
      <c r="X134" s="2" t="s">
        <v>46</v>
      </c>
      <c r="Y134" s="2" t="s">
        <v>73</v>
      </c>
    </row>
    <row r="135" customFormat="false" ht="15" hidden="false" customHeight="false" outlineLevel="0" collapsed="false">
      <c r="A135" s="2" t="s">
        <v>125</v>
      </c>
      <c r="B135" s="2" t="s">
        <v>126</v>
      </c>
      <c r="C135" s="2" t="s">
        <v>133</v>
      </c>
      <c r="D135" s="2" t="s">
        <v>134</v>
      </c>
      <c r="E135" s="3" t="n">
        <v>41495</v>
      </c>
      <c r="F135" s="4" t="n">
        <v>46147</v>
      </c>
      <c r="G135" s="4"/>
      <c r="H135" s="3" t="str">
        <f aca="false">IF(G135="","",G135-F135)</f>
        <v/>
      </c>
      <c r="I135" s="2" t="s">
        <v>129</v>
      </c>
      <c r="J135" s="2" t="s">
        <v>42</v>
      </c>
      <c r="K135" s="2" t="s">
        <v>43</v>
      </c>
      <c r="L135" s="2" t="s">
        <v>68</v>
      </c>
      <c r="M135" s="2" t="s">
        <v>69</v>
      </c>
      <c r="N135" s="3" t="n">
        <v>2</v>
      </c>
      <c r="O135" s="5" t="n">
        <v>118</v>
      </c>
      <c r="P135" s="5" t="n">
        <f aca="false">N135*O135</f>
        <v>236</v>
      </c>
      <c r="Q135" s="6" t="n">
        <v>0.05</v>
      </c>
      <c r="R135" s="5" t="n">
        <f aca="false">ROUND(P135*Q135,2)</f>
        <v>11.8</v>
      </c>
      <c r="S135" s="5" t="n">
        <f aca="false">P135-R135</f>
        <v>224.2</v>
      </c>
      <c r="T135" s="5" t="n">
        <f aca="false">ROUND(S135*Assumptions!$B$2,2)</f>
        <v>13.45</v>
      </c>
      <c r="U135" s="5" t="n">
        <f aca="false">S135+T135</f>
        <v>237.65</v>
      </c>
      <c r="V135" s="5" t="n">
        <v>0</v>
      </c>
      <c r="W135" s="5" t="n">
        <f aca="false">U135+V135</f>
        <v>237.65</v>
      </c>
      <c r="X135" s="2" t="s">
        <v>51</v>
      </c>
      <c r="Y135" s="2" t="s">
        <v>47</v>
      </c>
    </row>
    <row r="136" customFormat="false" ht="15" hidden="false" customHeight="false" outlineLevel="0" collapsed="false">
      <c r="A136" s="2" t="s">
        <v>125</v>
      </c>
      <c r="B136" s="2" t="s">
        <v>126</v>
      </c>
      <c r="C136" s="2" t="s">
        <v>133</v>
      </c>
      <c r="D136" s="2" t="s">
        <v>98</v>
      </c>
      <c r="E136" s="3" t="n">
        <v>41500</v>
      </c>
      <c r="F136" s="4" t="n">
        <v>46110</v>
      </c>
      <c r="G136" s="4"/>
      <c r="H136" s="3" t="str">
        <f aca="false">IF(G136="","",G136-F136)</f>
        <v/>
      </c>
      <c r="I136" s="2" t="s">
        <v>130</v>
      </c>
      <c r="J136" s="2" t="s">
        <v>35</v>
      </c>
      <c r="K136" s="2" t="s">
        <v>43</v>
      </c>
      <c r="L136" s="2" t="s">
        <v>56</v>
      </c>
      <c r="M136" s="2" t="s">
        <v>57</v>
      </c>
      <c r="N136" s="3" t="n">
        <v>50</v>
      </c>
      <c r="O136" s="5" t="n">
        <v>42</v>
      </c>
      <c r="P136" s="5" t="n">
        <f aca="false">N136*O136</f>
        <v>2100</v>
      </c>
      <c r="Q136" s="6" t="n">
        <v>0.15</v>
      </c>
      <c r="R136" s="5" t="n">
        <f aca="false">ROUND(P136*Q136,2)</f>
        <v>315</v>
      </c>
      <c r="S136" s="5" t="n">
        <f aca="false">P136-R136</f>
        <v>1785</v>
      </c>
      <c r="T136" s="5" t="n">
        <f aca="false">ROUND(S136*Assumptions!$B$2,2)</f>
        <v>107.1</v>
      </c>
      <c r="U136" s="5" t="n">
        <f aca="false">S136+T136</f>
        <v>1892.1</v>
      </c>
      <c r="V136" s="5" t="n">
        <v>12.48</v>
      </c>
      <c r="W136" s="5" t="n">
        <f aca="false">U136+V136</f>
        <v>1904.58</v>
      </c>
      <c r="X136" s="2" t="s">
        <v>39</v>
      </c>
      <c r="Y136" s="2"/>
    </row>
    <row r="137" customFormat="false" ht="15" hidden="false" customHeight="false" outlineLevel="0" collapsed="false">
      <c r="A137" s="2" t="s">
        <v>125</v>
      </c>
      <c r="B137" s="2" t="s">
        <v>126</v>
      </c>
      <c r="C137" s="2" t="s">
        <v>133</v>
      </c>
      <c r="D137" s="2" t="s">
        <v>98</v>
      </c>
      <c r="E137" s="3" t="n">
        <v>41507</v>
      </c>
      <c r="F137" s="4" t="n">
        <v>46183</v>
      </c>
      <c r="G137" s="4" t="n">
        <v>46184</v>
      </c>
      <c r="H137" s="3" t="n">
        <f aca="false">IF(G137="","",G137-F137)</f>
        <v>1</v>
      </c>
      <c r="I137" s="2" t="s">
        <v>129</v>
      </c>
      <c r="J137" s="2" t="s">
        <v>42</v>
      </c>
      <c r="K137" s="2" t="s">
        <v>31</v>
      </c>
      <c r="L137" s="2" t="s">
        <v>71</v>
      </c>
      <c r="M137" s="2" t="s">
        <v>72</v>
      </c>
      <c r="N137" s="3" t="n">
        <v>8</v>
      </c>
      <c r="O137" s="5" t="n">
        <v>34.99</v>
      </c>
      <c r="P137" s="5" t="n">
        <f aca="false">N137*O137</f>
        <v>279.92</v>
      </c>
      <c r="Q137" s="6" t="n">
        <v>0</v>
      </c>
      <c r="R137" s="5" t="n">
        <f aca="false">ROUND(P137*Q137,2)</f>
        <v>0</v>
      </c>
      <c r="S137" s="5" t="n">
        <f aca="false">P137-R137</f>
        <v>279.92</v>
      </c>
      <c r="T137" s="5" t="n">
        <f aca="false">ROUND(S137*Assumptions!$B$2,2)</f>
        <v>16.8</v>
      </c>
      <c r="U137" s="5" t="n">
        <f aca="false">S137+T137</f>
        <v>296.72</v>
      </c>
      <c r="V137" s="5" t="n">
        <v>0.89</v>
      </c>
      <c r="W137" s="5" t="n">
        <f aca="false">U137+V137</f>
        <v>297.61</v>
      </c>
      <c r="X137" s="2" t="s">
        <v>46</v>
      </c>
      <c r="Y137" s="2" t="s">
        <v>67</v>
      </c>
    </row>
    <row r="138" customFormat="false" ht="15" hidden="false" customHeight="false" outlineLevel="0" collapsed="false">
      <c r="A138" s="2" t="s">
        <v>125</v>
      </c>
      <c r="B138" s="2" t="s">
        <v>126</v>
      </c>
      <c r="C138" s="2" t="s">
        <v>133</v>
      </c>
      <c r="D138" s="2" t="s">
        <v>98</v>
      </c>
      <c r="E138" s="3" t="n">
        <v>41511</v>
      </c>
      <c r="F138" s="4" t="n">
        <v>46111</v>
      </c>
      <c r="G138" s="4" t="n">
        <v>46117</v>
      </c>
      <c r="H138" s="3" t="n">
        <f aca="false">IF(G138="","",G138-F138)</f>
        <v>6</v>
      </c>
      <c r="I138" s="2" t="s">
        <v>130</v>
      </c>
      <c r="J138" s="2" t="s">
        <v>42</v>
      </c>
      <c r="K138" s="2" t="s">
        <v>43</v>
      </c>
      <c r="L138" s="2" t="s">
        <v>68</v>
      </c>
      <c r="M138" s="2" t="s">
        <v>69</v>
      </c>
      <c r="N138" s="3" t="n">
        <v>24</v>
      </c>
      <c r="O138" s="5" t="n">
        <v>118</v>
      </c>
      <c r="P138" s="5" t="n">
        <f aca="false">N138*O138</f>
        <v>2832</v>
      </c>
      <c r="Q138" s="6" t="n">
        <v>0</v>
      </c>
      <c r="R138" s="5" t="n">
        <f aca="false">ROUND(P138*Q138,2)</f>
        <v>0</v>
      </c>
      <c r="S138" s="5" t="n">
        <f aca="false">P138-R138</f>
        <v>2832</v>
      </c>
      <c r="T138" s="5" t="n">
        <f aca="false">ROUND(S138*Assumptions!$B$2,2)</f>
        <v>169.92</v>
      </c>
      <c r="U138" s="5" t="n">
        <f aca="false">S138+T138</f>
        <v>3001.92</v>
      </c>
      <c r="V138" s="5" t="n">
        <v>4.95</v>
      </c>
      <c r="W138" s="5" t="n">
        <f aca="false">U138+V138</f>
        <v>3006.87</v>
      </c>
      <c r="X138" s="2" t="s">
        <v>46</v>
      </c>
      <c r="Y138" s="2" t="s">
        <v>73</v>
      </c>
    </row>
    <row r="139" customFormat="false" ht="15" hidden="false" customHeight="false" outlineLevel="0" collapsed="false">
      <c r="A139" s="2" t="s">
        <v>125</v>
      </c>
      <c r="B139" s="2" t="s">
        <v>126</v>
      </c>
      <c r="C139" s="2" t="s">
        <v>133</v>
      </c>
      <c r="D139" s="2" t="s">
        <v>98</v>
      </c>
      <c r="E139" s="3" t="n">
        <v>41517</v>
      </c>
      <c r="F139" s="4" t="n">
        <v>46079</v>
      </c>
      <c r="G139" s="4" t="n">
        <v>46087</v>
      </c>
      <c r="H139" s="3" t="n">
        <f aca="false">IF(G139="","",G139-F139)</f>
        <v>8</v>
      </c>
      <c r="I139" s="2" t="s">
        <v>130</v>
      </c>
      <c r="J139" s="2" t="s">
        <v>42</v>
      </c>
      <c r="K139" s="2" t="s">
        <v>48</v>
      </c>
      <c r="L139" s="2" t="s">
        <v>49</v>
      </c>
      <c r="M139" s="2" t="s">
        <v>50</v>
      </c>
      <c r="N139" s="3" t="n">
        <v>25</v>
      </c>
      <c r="O139" s="5" t="n">
        <v>31.9</v>
      </c>
      <c r="P139" s="5" t="n">
        <f aca="false">N139*O139</f>
        <v>797.5</v>
      </c>
      <c r="Q139" s="6" t="n">
        <v>0</v>
      </c>
      <c r="R139" s="5" t="n">
        <f aca="false">ROUND(P139*Q139,2)</f>
        <v>0</v>
      </c>
      <c r="S139" s="5" t="n">
        <f aca="false">P139-R139</f>
        <v>797.5</v>
      </c>
      <c r="T139" s="5" t="n">
        <f aca="false">ROUND(S139*Assumptions!$B$2,2)</f>
        <v>47.85</v>
      </c>
      <c r="U139" s="5" t="n">
        <f aca="false">S139+T139</f>
        <v>845.35</v>
      </c>
      <c r="V139" s="5" t="n">
        <v>32.27</v>
      </c>
      <c r="W139" s="5" t="n">
        <f aca="false">U139+V139</f>
        <v>877.62</v>
      </c>
      <c r="X139" s="2" t="s">
        <v>46</v>
      </c>
      <c r="Y139" s="2" t="s">
        <v>64</v>
      </c>
    </row>
    <row r="140" customFormat="false" ht="15" hidden="false" customHeight="false" outlineLevel="0" collapsed="false">
      <c r="A140" s="2" t="s">
        <v>125</v>
      </c>
      <c r="B140" s="2" t="s">
        <v>126</v>
      </c>
      <c r="C140" s="2" t="s">
        <v>133</v>
      </c>
      <c r="D140" s="2" t="s">
        <v>98</v>
      </c>
      <c r="E140" s="3" t="n">
        <v>41523</v>
      </c>
      <c r="F140" s="4" t="n">
        <v>46252</v>
      </c>
      <c r="G140" s="4" t="n">
        <v>46258</v>
      </c>
      <c r="H140" s="3" t="n">
        <f aca="false">IF(G140="","",G140-F140)</f>
        <v>6</v>
      </c>
      <c r="I140" s="2" t="s">
        <v>130</v>
      </c>
      <c r="J140" s="2" t="s">
        <v>30</v>
      </c>
      <c r="K140" s="2" t="s">
        <v>36</v>
      </c>
      <c r="L140" s="2" t="s">
        <v>86</v>
      </c>
      <c r="M140" s="2" t="s">
        <v>87</v>
      </c>
      <c r="N140" s="3" t="n">
        <v>6</v>
      </c>
      <c r="O140" s="5" t="n">
        <v>21.95</v>
      </c>
      <c r="P140" s="5" t="n">
        <f aca="false">N140*O140</f>
        <v>131.7</v>
      </c>
      <c r="Q140" s="6" t="n">
        <v>0.05</v>
      </c>
      <c r="R140" s="5" t="n">
        <f aca="false">ROUND(P140*Q140,2)</f>
        <v>6.59</v>
      </c>
      <c r="S140" s="5" t="n">
        <f aca="false">P140-R140</f>
        <v>125.11</v>
      </c>
      <c r="T140" s="5" t="n">
        <f aca="false">ROUND(S140*Assumptions!$B$2,2)</f>
        <v>7.51</v>
      </c>
      <c r="U140" s="5" t="n">
        <f aca="false">S140+T140</f>
        <v>132.62</v>
      </c>
      <c r="V140" s="5" t="n">
        <v>41.08</v>
      </c>
      <c r="W140" s="5" t="n">
        <f aca="false">U140+V140</f>
        <v>173.7</v>
      </c>
      <c r="X140" s="2" t="s">
        <v>46</v>
      </c>
      <c r="Y140" s="2" t="s">
        <v>84</v>
      </c>
    </row>
    <row r="141" customFormat="false" ht="15" hidden="false" customHeight="false" outlineLevel="0" collapsed="false">
      <c r="A141" s="2" t="s">
        <v>125</v>
      </c>
      <c r="B141" s="2" t="s">
        <v>126</v>
      </c>
      <c r="C141" s="2" t="s">
        <v>133</v>
      </c>
      <c r="D141" s="2" t="s">
        <v>98</v>
      </c>
      <c r="E141" s="3" t="n">
        <v>41527</v>
      </c>
      <c r="F141" s="4" t="n">
        <v>46087</v>
      </c>
      <c r="G141" s="4"/>
      <c r="H141" s="3" t="str">
        <f aca="false">IF(G141="","",G141-F141)</f>
        <v/>
      </c>
      <c r="I141" s="2" t="s">
        <v>130</v>
      </c>
      <c r="J141" s="2" t="s">
        <v>42</v>
      </c>
      <c r="K141" s="2" t="s">
        <v>31</v>
      </c>
      <c r="L141" s="2" t="s">
        <v>32</v>
      </c>
      <c r="M141" s="2" t="s">
        <v>33</v>
      </c>
      <c r="N141" s="3" t="n">
        <v>8</v>
      </c>
      <c r="O141" s="5" t="n">
        <v>14.25</v>
      </c>
      <c r="P141" s="5" t="n">
        <f aca="false">N141*O141</f>
        <v>114</v>
      </c>
      <c r="Q141" s="6" t="n">
        <v>0.05</v>
      </c>
      <c r="R141" s="5" t="n">
        <f aca="false">ROUND(P141*Q141,2)</f>
        <v>5.7</v>
      </c>
      <c r="S141" s="5" t="n">
        <f aca="false">P141-R141</f>
        <v>108.3</v>
      </c>
      <c r="T141" s="5" t="n">
        <f aca="false">ROUND(S141*Assumptions!$B$2,2)</f>
        <v>6.5</v>
      </c>
      <c r="U141" s="5" t="n">
        <f aca="false">S141+T141</f>
        <v>114.8</v>
      </c>
      <c r="V141" s="5" t="n">
        <v>0</v>
      </c>
      <c r="W141" s="5" t="n">
        <f aca="false">U141+V141</f>
        <v>114.8</v>
      </c>
      <c r="X141" s="2" t="s">
        <v>51</v>
      </c>
      <c r="Y141" s="2" t="s">
        <v>58</v>
      </c>
    </row>
    <row r="142" customFormat="false" ht="15" hidden="false" customHeight="false" outlineLevel="0" collapsed="false">
      <c r="A142" s="2" t="s">
        <v>125</v>
      </c>
      <c r="B142" s="2" t="s">
        <v>135</v>
      </c>
      <c r="C142" s="2" t="s">
        <v>136</v>
      </c>
      <c r="D142" s="2" t="s">
        <v>40</v>
      </c>
      <c r="E142" s="3" t="n">
        <v>41530</v>
      </c>
      <c r="F142" s="4" t="n">
        <v>46151</v>
      </c>
      <c r="G142" s="4"/>
      <c r="H142" s="3" t="str">
        <f aca="false">IF(G142="","",G142-F142)</f>
        <v/>
      </c>
      <c r="I142" s="2" t="s">
        <v>130</v>
      </c>
      <c r="J142" s="2" t="s">
        <v>42</v>
      </c>
      <c r="K142" s="2" t="s">
        <v>36</v>
      </c>
      <c r="L142" s="2" t="s">
        <v>37</v>
      </c>
      <c r="M142" s="2" t="s">
        <v>38</v>
      </c>
      <c r="N142" s="3" t="n">
        <v>6</v>
      </c>
      <c r="O142" s="5" t="n">
        <v>27.6</v>
      </c>
      <c r="P142" s="5" t="n">
        <f aca="false">N142*O142</f>
        <v>165.6</v>
      </c>
      <c r="Q142" s="6" t="n">
        <v>0.1</v>
      </c>
      <c r="R142" s="5" t="n">
        <f aca="false">ROUND(P142*Q142,2)</f>
        <v>16.56</v>
      </c>
      <c r="S142" s="5" t="n">
        <f aca="false">P142-R142</f>
        <v>149.04</v>
      </c>
      <c r="T142" s="5" t="n">
        <f aca="false">ROUND(S142*Assumptions!$B$2,2)</f>
        <v>8.94</v>
      </c>
      <c r="U142" s="5" t="n">
        <f aca="false">S142+T142</f>
        <v>157.98</v>
      </c>
      <c r="V142" s="5" t="n">
        <v>0</v>
      </c>
      <c r="W142" s="5" t="n">
        <f aca="false">U142+V142</f>
        <v>157.98</v>
      </c>
      <c r="X142" s="2" t="s">
        <v>51</v>
      </c>
      <c r="Y142" s="2"/>
    </row>
    <row r="143" customFormat="false" ht="15" hidden="false" customHeight="false" outlineLevel="0" collapsed="false">
      <c r="A143" s="2" t="s">
        <v>125</v>
      </c>
      <c r="B143" s="2" t="s">
        <v>135</v>
      </c>
      <c r="C143" s="2" t="s">
        <v>136</v>
      </c>
      <c r="D143" s="2" t="s">
        <v>40</v>
      </c>
      <c r="E143" s="3" t="n">
        <v>41531</v>
      </c>
      <c r="F143" s="4" t="n">
        <v>46250</v>
      </c>
      <c r="G143" s="4" t="n">
        <v>46252</v>
      </c>
      <c r="H143" s="3" t="n">
        <f aca="false">IF(G143="","",G143-F143)</f>
        <v>2</v>
      </c>
      <c r="I143" s="2" t="s">
        <v>129</v>
      </c>
      <c r="J143" s="2" t="s">
        <v>42</v>
      </c>
      <c r="K143" s="2" t="s">
        <v>31</v>
      </c>
      <c r="L143" s="2" t="s">
        <v>71</v>
      </c>
      <c r="M143" s="2" t="s">
        <v>72</v>
      </c>
      <c r="N143" s="3" t="n">
        <v>5</v>
      </c>
      <c r="O143" s="5" t="n">
        <v>34.99</v>
      </c>
      <c r="P143" s="5" t="n">
        <f aca="false">N143*O143</f>
        <v>174.95</v>
      </c>
      <c r="Q143" s="6" t="n">
        <v>0.15</v>
      </c>
      <c r="R143" s="5" t="n">
        <f aca="false">ROUND(P143*Q143,2)</f>
        <v>26.24</v>
      </c>
      <c r="S143" s="5" t="n">
        <f aca="false">P143-R143</f>
        <v>148.71</v>
      </c>
      <c r="T143" s="5" t="n">
        <f aca="false">ROUND(S143*Assumptions!$B$2,2)</f>
        <v>8.92</v>
      </c>
      <c r="U143" s="5" t="n">
        <f aca="false">S143+T143</f>
        <v>157.63</v>
      </c>
      <c r="V143" s="5" t="n">
        <v>33.91</v>
      </c>
      <c r="W143" s="5" t="n">
        <f aca="false">U143+V143</f>
        <v>191.54</v>
      </c>
      <c r="X143" s="2" t="s">
        <v>46</v>
      </c>
      <c r="Y143" s="2" t="s">
        <v>52</v>
      </c>
    </row>
    <row r="144" customFormat="false" ht="15" hidden="false" customHeight="false" outlineLevel="0" collapsed="false">
      <c r="A144" s="2" t="s">
        <v>125</v>
      </c>
      <c r="B144" s="2" t="s">
        <v>135</v>
      </c>
      <c r="C144" s="2" t="s">
        <v>136</v>
      </c>
      <c r="D144" s="2" t="s">
        <v>40</v>
      </c>
      <c r="E144" s="3" t="n">
        <v>41533</v>
      </c>
      <c r="F144" s="4" t="n">
        <v>46121</v>
      </c>
      <c r="G144" s="4"/>
      <c r="H144" s="3" t="str">
        <f aca="false">IF(G144="","",G144-F144)</f>
        <v/>
      </c>
      <c r="I144" s="2" t="s">
        <v>130</v>
      </c>
      <c r="J144" s="2" t="s">
        <v>30</v>
      </c>
      <c r="K144" s="2" t="s">
        <v>31</v>
      </c>
      <c r="L144" s="2" t="s">
        <v>71</v>
      </c>
      <c r="M144" s="2" t="s">
        <v>72</v>
      </c>
      <c r="N144" s="3" t="n">
        <v>2</v>
      </c>
      <c r="O144" s="5" t="n">
        <v>34.99</v>
      </c>
      <c r="P144" s="5" t="n">
        <f aca="false">N144*O144</f>
        <v>69.98</v>
      </c>
      <c r="Q144" s="6" t="n">
        <v>0</v>
      </c>
      <c r="R144" s="5" t="n">
        <f aca="false">ROUND(P144*Q144,2)</f>
        <v>0</v>
      </c>
      <c r="S144" s="5" t="n">
        <f aca="false">P144-R144</f>
        <v>69.98</v>
      </c>
      <c r="T144" s="5" t="n">
        <f aca="false">ROUND(S144*Assumptions!$B$2,2)</f>
        <v>4.2</v>
      </c>
      <c r="U144" s="5" t="n">
        <f aca="false">S144+T144</f>
        <v>74.18</v>
      </c>
      <c r="V144" s="5" t="n">
        <v>0</v>
      </c>
      <c r="W144" s="5" t="n">
        <f aca="false">U144+V144</f>
        <v>74.18</v>
      </c>
      <c r="X144" s="2" t="s">
        <v>51</v>
      </c>
      <c r="Y144" s="2" t="s">
        <v>58</v>
      </c>
    </row>
    <row r="145" customFormat="false" ht="15" hidden="false" customHeight="false" outlineLevel="0" collapsed="false">
      <c r="A145" s="2" t="s">
        <v>125</v>
      </c>
      <c r="B145" s="2" t="s">
        <v>135</v>
      </c>
      <c r="C145" s="2" t="s">
        <v>136</v>
      </c>
      <c r="D145" s="2" t="s">
        <v>40</v>
      </c>
      <c r="E145" s="3" t="n">
        <v>41534</v>
      </c>
      <c r="F145" s="4" t="n">
        <v>46052</v>
      </c>
      <c r="G145" s="4"/>
      <c r="H145" s="3" t="str">
        <f aca="false">IF(G145="","",G145-F145)</f>
        <v/>
      </c>
      <c r="I145" s="2" t="s">
        <v>129</v>
      </c>
      <c r="J145" s="2" t="s">
        <v>42</v>
      </c>
      <c r="K145" s="2" t="s">
        <v>48</v>
      </c>
      <c r="L145" s="2" t="s">
        <v>77</v>
      </c>
      <c r="M145" s="2" t="s">
        <v>78</v>
      </c>
      <c r="N145" s="3" t="n">
        <v>4</v>
      </c>
      <c r="O145" s="5" t="n">
        <v>18.4</v>
      </c>
      <c r="P145" s="5" t="n">
        <f aca="false">N145*O145</f>
        <v>73.6</v>
      </c>
      <c r="Q145" s="6" t="n">
        <v>0</v>
      </c>
      <c r="R145" s="5" t="n">
        <f aca="false">ROUND(P145*Q145,2)</f>
        <v>0</v>
      </c>
      <c r="S145" s="5" t="n">
        <f aca="false">P145-R145</f>
        <v>73.6</v>
      </c>
      <c r="T145" s="5" t="n">
        <f aca="false">ROUND(S145*Assumptions!$B$2,2)</f>
        <v>4.42</v>
      </c>
      <c r="U145" s="5" t="n">
        <f aca="false">S145+T145</f>
        <v>78.02</v>
      </c>
      <c r="V145" s="5" t="n">
        <v>23.12</v>
      </c>
      <c r="W145" s="5" t="n">
        <f aca="false">U145+V145</f>
        <v>101.14</v>
      </c>
      <c r="X145" s="2" t="s">
        <v>39</v>
      </c>
      <c r="Y145" s="2"/>
    </row>
    <row r="146" customFormat="false" ht="15" hidden="false" customHeight="false" outlineLevel="0" collapsed="false">
      <c r="A146" s="2" t="s">
        <v>125</v>
      </c>
      <c r="B146" s="2" t="s">
        <v>135</v>
      </c>
      <c r="C146" s="2" t="s">
        <v>136</v>
      </c>
      <c r="D146" s="2" t="s">
        <v>40</v>
      </c>
      <c r="E146" s="3" t="n">
        <v>41539</v>
      </c>
      <c r="F146" s="4" t="n">
        <v>46111</v>
      </c>
      <c r="G146" s="4"/>
      <c r="H146" s="3" t="str">
        <f aca="false">IF(G146="","",G146-F146)</f>
        <v/>
      </c>
      <c r="I146" s="2" t="s">
        <v>130</v>
      </c>
      <c r="J146" s="2" t="s">
        <v>30</v>
      </c>
      <c r="K146" s="2" t="s">
        <v>36</v>
      </c>
      <c r="L146" s="2" t="s">
        <v>37</v>
      </c>
      <c r="M146" s="2" t="s">
        <v>38</v>
      </c>
      <c r="N146" s="3" t="n">
        <v>12</v>
      </c>
      <c r="O146" s="5" t="n">
        <v>27.6</v>
      </c>
      <c r="P146" s="5" t="n">
        <f aca="false">N146*O146</f>
        <v>331.2</v>
      </c>
      <c r="Q146" s="6" t="n">
        <v>0</v>
      </c>
      <c r="R146" s="5" t="n">
        <f aca="false">ROUND(P146*Q146,2)</f>
        <v>0</v>
      </c>
      <c r="S146" s="5" t="n">
        <f aca="false">P146-R146</f>
        <v>331.2</v>
      </c>
      <c r="T146" s="5" t="n">
        <f aca="false">ROUND(S146*Assumptions!$B$2,2)</f>
        <v>19.87</v>
      </c>
      <c r="U146" s="5" t="n">
        <f aca="false">S146+T146</f>
        <v>351.07</v>
      </c>
      <c r="V146" s="5" t="n">
        <v>44.76</v>
      </c>
      <c r="W146" s="5" t="n">
        <f aca="false">U146+V146</f>
        <v>395.83</v>
      </c>
      <c r="X146" s="2" t="s">
        <v>39</v>
      </c>
      <c r="Y146" s="2"/>
    </row>
    <row r="147" customFormat="false" ht="15" hidden="false" customHeight="false" outlineLevel="0" collapsed="false">
      <c r="A147" s="2" t="s">
        <v>125</v>
      </c>
      <c r="B147" s="2" t="s">
        <v>135</v>
      </c>
      <c r="C147" s="2" t="s">
        <v>136</v>
      </c>
      <c r="D147" s="2" t="s">
        <v>137</v>
      </c>
      <c r="E147" s="3" t="n">
        <v>41542</v>
      </c>
      <c r="F147" s="4" t="n">
        <v>46066</v>
      </c>
      <c r="G147" s="4" t="n">
        <v>46069</v>
      </c>
      <c r="H147" s="3" t="n">
        <f aca="false">IF(G147="","",G147-F147)</f>
        <v>3</v>
      </c>
      <c r="I147" s="2" t="s">
        <v>130</v>
      </c>
      <c r="J147" s="2" t="s">
        <v>42</v>
      </c>
      <c r="K147" s="2" t="s">
        <v>48</v>
      </c>
      <c r="L147" s="2" t="s">
        <v>49</v>
      </c>
      <c r="M147" s="2" t="s">
        <v>50</v>
      </c>
      <c r="N147" s="3" t="n">
        <v>10</v>
      </c>
      <c r="O147" s="5" t="n">
        <v>31.9</v>
      </c>
      <c r="P147" s="5" t="n">
        <f aca="false">N147*O147</f>
        <v>319</v>
      </c>
      <c r="Q147" s="6" t="n">
        <v>0.15</v>
      </c>
      <c r="R147" s="5" t="n">
        <f aca="false">ROUND(P147*Q147,2)</f>
        <v>47.85</v>
      </c>
      <c r="S147" s="5" t="n">
        <f aca="false">P147-R147</f>
        <v>271.15</v>
      </c>
      <c r="T147" s="5" t="n">
        <f aca="false">ROUND(S147*Assumptions!$B$2,2)</f>
        <v>16.27</v>
      </c>
      <c r="U147" s="5" t="n">
        <f aca="false">S147+T147</f>
        <v>287.42</v>
      </c>
      <c r="V147" s="5" t="n">
        <v>29.94</v>
      </c>
      <c r="W147" s="5" t="n">
        <f aca="false">U147+V147</f>
        <v>317.36</v>
      </c>
      <c r="X147" s="2" t="s">
        <v>46</v>
      </c>
      <c r="Y147" s="2"/>
    </row>
    <row r="148" customFormat="false" ht="15" hidden="false" customHeight="false" outlineLevel="0" collapsed="false">
      <c r="A148" s="2" t="s">
        <v>125</v>
      </c>
      <c r="B148" s="2" t="s">
        <v>135</v>
      </c>
      <c r="C148" s="2" t="s">
        <v>136</v>
      </c>
      <c r="D148" s="2" t="s">
        <v>137</v>
      </c>
      <c r="E148" s="3" t="n">
        <v>41549</v>
      </c>
      <c r="F148" s="4" t="n">
        <v>46228</v>
      </c>
      <c r="G148" s="4" t="n">
        <v>46233</v>
      </c>
      <c r="H148" s="3" t="n">
        <f aca="false">IF(G148="","",G148-F148)</f>
        <v>5</v>
      </c>
      <c r="I148" s="2" t="s">
        <v>129</v>
      </c>
      <c r="J148" s="2" t="s">
        <v>42</v>
      </c>
      <c r="K148" s="2" t="s">
        <v>36</v>
      </c>
      <c r="L148" s="2" t="s">
        <v>37</v>
      </c>
      <c r="M148" s="2" t="s">
        <v>38</v>
      </c>
      <c r="N148" s="3" t="n">
        <v>5</v>
      </c>
      <c r="O148" s="5" t="n">
        <v>27.6</v>
      </c>
      <c r="P148" s="5" t="n">
        <f aca="false">N148*O148</f>
        <v>138</v>
      </c>
      <c r="Q148" s="6" t="n">
        <v>0.1</v>
      </c>
      <c r="R148" s="5" t="n">
        <f aca="false">ROUND(P148*Q148,2)</f>
        <v>13.8</v>
      </c>
      <c r="S148" s="5" t="n">
        <f aca="false">P148-R148</f>
        <v>124.2</v>
      </c>
      <c r="T148" s="5" t="n">
        <f aca="false">ROUND(S148*Assumptions!$B$2,2)</f>
        <v>7.45</v>
      </c>
      <c r="U148" s="5" t="n">
        <f aca="false">S148+T148</f>
        <v>131.65</v>
      </c>
      <c r="V148" s="5" t="n">
        <v>12.97</v>
      </c>
      <c r="W148" s="5" t="n">
        <f aca="false">U148+V148</f>
        <v>144.62</v>
      </c>
      <c r="X148" s="2" t="s">
        <v>46</v>
      </c>
      <c r="Y148" s="2" t="s">
        <v>84</v>
      </c>
    </row>
    <row r="149" customFormat="false" ht="15" hidden="false" customHeight="false" outlineLevel="0" collapsed="false">
      <c r="A149" s="2" t="s">
        <v>125</v>
      </c>
      <c r="B149" s="2" t="s">
        <v>135</v>
      </c>
      <c r="C149" s="2" t="s">
        <v>136</v>
      </c>
      <c r="D149" s="2" t="s">
        <v>137</v>
      </c>
      <c r="E149" s="3" t="n">
        <v>41556</v>
      </c>
      <c r="F149" s="4" t="n">
        <v>46026</v>
      </c>
      <c r="G149" s="4" t="n">
        <v>46032</v>
      </c>
      <c r="H149" s="3" t="n">
        <f aca="false">IF(G149="","",G149-F149)</f>
        <v>6</v>
      </c>
      <c r="I149" s="2" t="s">
        <v>130</v>
      </c>
      <c r="J149" s="2" t="s">
        <v>42</v>
      </c>
      <c r="K149" s="2" t="s">
        <v>43</v>
      </c>
      <c r="L149" s="2" t="s">
        <v>44</v>
      </c>
      <c r="M149" s="2" t="s">
        <v>45</v>
      </c>
      <c r="N149" s="3" t="n">
        <v>20</v>
      </c>
      <c r="O149" s="5" t="n">
        <v>13.4</v>
      </c>
      <c r="P149" s="5" t="n">
        <f aca="false">N149*O149</f>
        <v>268</v>
      </c>
      <c r="Q149" s="6" t="n">
        <v>0.1</v>
      </c>
      <c r="R149" s="5" t="n">
        <f aca="false">ROUND(P149*Q149,2)</f>
        <v>26.8</v>
      </c>
      <c r="S149" s="5" t="n">
        <f aca="false">P149-R149</f>
        <v>241.2</v>
      </c>
      <c r="T149" s="5" t="n">
        <f aca="false">ROUND(S149*Assumptions!$B$2,2)</f>
        <v>14.47</v>
      </c>
      <c r="U149" s="5" t="n">
        <f aca="false">S149+T149</f>
        <v>255.67</v>
      </c>
      <c r="V149" s="5" t="n">
        <v>39.16</v>
      </c>
      <c r="W149" s="5" t="n">
        <f aca="false">U149+V149</f>
        <v>294.83</v>
      </c>
      <c r="X149" s="2" t="s">
        <v>46</v>
      </c>
      <c r="Y149" s="2" t="s">
        <v>84</v>
      </c>
    </row>
    <row r="150" customFormat="false" ht="15" hidden="false" customHeight="false" outlineLevel="0" collapsed="false">
      <c r="A150" s="2" t="s">
        <v>125</v>
      </c>
      <c r="B150" s="2" t="s">
        <v>135</v>
      </c>
      <c r="C150" s="2" t="s">
        <v>136</v>
      </c>
      <c r="D150" s="2" t="s">
        <v>137</v>
      </c>
      <c r="E150" s="3" t="n">
        <v>41559</v>
      </c>
      <c r="F150" s="4" t="n">
        <v>46240</v>
      </c>
      <c r="G150" s="4" t="n">
        <v>46246</v>
      </c>
      <c r="H150" s="3" t="n">
        <f aca="false">IF(G150="","",G150-F150)</f>
        <v>6</v>
      </c>
      <c r="I150" s="2" t="s">
        <v>130</v>
      </c>
      <c r="J150" s="2" t="s">
        <v>42</v>
      </c>
      <c r="K150" s="2" t="s">
        <v>59</v>
      </c>
      <c r="L150" s="2" t="s">
        <v>60</v>
      </c>
      <c r="M150" s="2" t="s">
        <v>61</v>
      </c>
      <c r="N150" s="3" t="n">
        <v>12</v>
      </c>
      <c r="O150" s="5" t="n">
        <v>64.5</v>
      </c>
      <c r="P150" s="5" t="n">
        <f aca="false">N150*O150</f>
        <v>774</v>
      </c>
      <c r="Q150" s="6" t="n">
        <v>0</v>
      </c>
      <c r="R150" s="5" t="n">
        <f aca="false">ROUND(P150*Q150,2)</f>
        <v>0</v>
      </c>
      <c r="S150" s="5" t="n">
        <f aca="false">P150-R150</f>
        <v>774</v>
      </c>
      <c r="T150" s="5" t="n">
        <f aca="false">ROUND(S150*Assumptions!$B$2,2)</f>
        <v>46.44</v>
      </c>
      <c r="U150" s="5" t="n">
        <f aca="false">S150+T150</f>
        <v>820.44</v>
      </c>
      <c r="V150" s="5" t="n">
        <v>31.24</v>
      </c>
      <c r="W150" s="5" t="n">
        <f aca="false">U150+V150</f>
        <v>851.68</v>
      </c>
      <c r="X150" s="2" t="s">
        <v>46</v>
      </c>
      <c r="Y150" s="2" t="s">
        <v>52</v>
      </c>
    </row>
    <row r="151" customFormat="false" ht="15" hidden="false" customHeight="false" outlineLevel="0" collapsed="false">
      <c r="A151" s="2" t="s">
        <v>125</v>
      </c>
      <c r="B151" s="2" t="s">
        <v>135</v>
      </c>
      <c r="C151" s="2" t="s">
        <v>136</v>
      </c>
      <c r="D151" s="2" t="s">
        <v>138</v>
      </c>
      <c r="E151" s="3" t="n">
        <v>41565</v>
      </c>
      <c r="F151" s="4" t="n">
        <v>46031</v>
      </c>
      <c r="G151" s="4" t="n">
        <v>46035</v>
      </c>
      <c r="H151" s="3" t="n">
        <f aca="false">IF(G151="","",G151-F151)</f>
        <v>4</v>
      </c>
      <c r="I151" s="2" t="s">
        <v>130</v>
      </c>
      <c r="J151" s="2" t="s">
        <v>42</v>
      </c>
      <c r="K151" s="2" t="s">
        <v>31</v>
      </c>
      <c r="L151" s="2" t="s">
        <v>32</v>
      </c>
      <c r="M151" s="2" t="s">
        <v>33</v>
      </c>
      <c r="N151" s="3" t="n">
        <v>10</v>
      </c>
      <c r="O151" s="5" t="n">
        <v>14.25</v>
      </c>
      <c r="P151" s="5" t="n">
        <f aca="false">N151*O151</f>
        <v>142.5</v>
      </c>
      <c r="Q151" s="6" t="n">
        <v>0</v>
      </c>
      <c r="R151" s="5" t="n">
        <f aca="false">ROUND(P151*Q151,2)</f>
        <v>0</v>
      </c>
      <c r="S151" s="5" t="n">
        <f aca="false">P151-R151</f>
        <v>142.5</v>
      </c>
      <c r="T151" s="5" t="n">
        <f aca="false">ROUND(S151*Assumptions!$B$2,2)</f>
        <v>8.55</v>
      </c>
      <c r="U151" s="5" t="n">
        <f aca="false">S151+T151</f>
        <v>151.05</v>
      </c>
      <c r="V151" s="5" t="n">
        <v>36.74</v>
      </c>
      <c r="W151" s="5" t="n">
        <f aca="false">U151+V151</f>
        <v>187.79</v>
      </c>
      <c r="X151" s="2" t="s">
        <v>46</v>
      </c>
      <c r="Y151" s="2"/>
    </row>
    <row r="152" customFormat="false" ht="15" hidden="false" customHeight="false" outlineLevel="0" collapsed="false">
      <c r="A152" s="2" t="s">
        <v>125</v>
      </c>
      <c r="B152" s="2" t="s">
        <v>135</v>
      </c>
      <c r="C152" s="2" t="s">
        <v>136</v>
      </c>
      <c r="D152" s="2" t="s">
        <v>138</v>
      </c>
      <c r="E152" s="3" t="n">
        <v>41567</v>
      </c>
      <c r="F152" s="4" t="n">
        <v>46109</v>
      </c>
      <c r="G152" s="4" t="n">
        <v>46114</v>
      </c>
      <c r="H152" s="3" t="n">
        <f aca="false">IF(G152="","",G152-F152)</f>
        <v>5</v>
      </c>
      <c r="I152" s="2" t="s">
        <v>130</v>
      </c>
      <c r="J152" s="2" t="s">
        <v>42</v>
      </c>
      <c r="K152" s="2" t="s">
        <v>36</v>
      </c>
      <c r="L152" s="2" t="s">
        <v>86</v>
      </c>
      <c r="M152" s="2" t="s">
        <v>87</v>
      </c>
      <c r="N152" s="3" t="n">
        <v>15</v>
      </c>
      <c r="O152" s="5" t="n">
        <v>21.95</v>
      </c>
      <c r="P152" s="5" t="n">
        <f aca="false">N152*O152</f>
        <v>329.25</v>
      </c>
      <c r="Q152" s="6" t="n">
        <v>0.05</v>
      </c>
      <c r="R152" s="5" t="n">
        <f aca="false">ROUND(P152*Q152,2)</f>
        <v>16.46</v>
      </c>
      <c r="S152" s="5" t="n">
        <f aca="false">P152-R152</f>
        <v>312.79</v>
      </c>
      <c r="T152" s="5" t="n">
        <f aca="false">ROUND(S152*Assumptions!$B$2,2)</f>
        <v>18.77</v>
      </c>
      <c r="U152" s="5" t="n">
        <f aca="false">S152+T152</f>
        <v>331.56</v>
      </c>
      <c r="V152" s="5" t="n">
        <v>42.49</v>
      </c>
      <c r="W152" s="5" t="n">
        <f aca="false">U152+V152</f>
        <v>374.05</v>
      </c>
      <c r="X152" s="2" t="s">
        <v>34</v>
      </c>
      <c r="Y152" s="2" t="s">
        <v>84</v>
      </c>
    </row>
    <row r="153" customFormat="false" ht="15" hidden="false" customHeight="false" outlineLevel="0" collapsed="false">
      <c r="A153" s="2" t="s">
        <v>125</v>
      </c>
      <c r="B153" s="2" t="s">
        <v>135</v>
      </c>
      <c r="C153" s="2" t="s">
        <v>136</v>
      </c>
      <c r="D153" s="2" t="s">
        <v>138</v>
      </c>
      <c r="E153" s="3" t="n">
        <v>41572</v>
      </c>
      <c r="F153" s="4" t="n">
        <v>46245</v>
      </c>
      <c r="G153" s="4" t="n">
        <v>46254</v>
      </c>
      <c r="H153" s="3" t="n">
        <f aca="false">IF(G153="","",G153-F153)</f>
        <v>9</v>
      </c>
      <c r="I153" s="2" t="s">
        <v>129</v>
      </c>
      <c r="J153" s="2" t="s">
        <v>35</v>
      </c>
      <c r="K153" s="2" t="s">
        <v>48</v>
      </c>
      <c r="L153" s="2" t="s">
        <v>54</v>
      </c>
      <c r="M153" s="2" t="s">
        <v>55</v>
      </c>
      <c r="N153" s="3" t="n">
        <v>1</v>
      </c>
      <c r="O153" s="5" t="n">
        <v>22.75</v>
      </c>
      <c r="P153" s="5" t="n">
        <f aca="false">N153*O153</f>
        <v>22.75</v>
      </c>
      <c r="Q153" s="6" t="n">
        <v>0</v>
      </c>
      <c r="R153" s="5" t="n">
        <f aca="false">ROUND(P153*Q153,2)</f>
        <v>0</v>
      </c>
      <c r="S153" s="5" t="n">
        <f aca="false">P153-R153</f>
        <v>22.75</v>
      </c>
      <c r="T153" s="5" t="n">
        <f aca="false">ROUND(S153*Assumptions!$B$2,2)</f>
        <v>1.37</v>
      </c>
      <c r="U153" s="5" t="n">
        <f aca="false">S153+T153</f>
        <v>24.12</v>
      </c>
      <c r="V153" s="5" t="n">
        <v>33.4</v>
      </c>
      <c r="W153" s="5" t="n">
        <f aca="false">U153+V153</f>
        <v>57.52</v>
      </c>
      <c r="X153" s="2" t="s">
        <v>46</v>
      </c>
      <c r="Y153" s="2" t="s">
        <v>52</v>
      </c>
    </row>
    <row r="154" customFormat="false" ht="15" hidden="false" customHeight="false" outlineLevel="0" collapsed="false">
      <c r="A154" s="2" t="s">
        <v>125</v>
      </c>
      <c r="B154" s="2" t="s">
        <v>135</v>
      </c>
      <c r="C154" s="2" t="s">
        <v>136</v>
      </c>
      <c r="D154" s="2" t="s">
        <v>138</v>
      </c>
      <c r="E154" s="3" t="n">
        <v>41578</v>
      </c>
      <c r="F154" s="4" t="n">
        <v>46152</v>
      </c>
      <c r="G154" s="4" t="n">
        <v>46154</v>
      </c>
      <c r="H154" s="3" t="n">
        <f aca="false">IF(G154="","",G154-F154)</f>
        <v>2</v>
      </c>
      <c r="I154" s="2" t="s">
        <v>130</v>
      </c>
      <c r="J154" s="2" t="s">
        <v>35</v>
      </c>
      <c r="K154" s="2" t="s">
        <v>48</v>
      </c>
      <c r="L154" s="2" t="s">
        <v>77</v>
      </c>
      <c r="M154" s="2" t="s">
        <v>78</v>
      </c>
      <c r="N154" s="3" t="n">
        <v>12</v>
      </c>
      <c r="O154" s="5" t="n">
        <v>18.4</v>
      </c>
      <c r="P154" s="5" t="n">
        <f aca="false">N154*O154</f>
        <v>220.8</v>
      </c>
      <c r="Q154" s="6" t="n">
        <v>0.05</v>
      </c>
      <c r="R154" s="5" t="n">
        <f aca="false">ROUND(P154*Q154,2)</f>
        <v>11.04</v>
      </c>
      <c r="S154" s="5" t="n">
        <f aca="false">P154-R154</f>
        <v>209.76</v>
      </c>
      <c r="T154" s="5" t="n">
        <f aca="false">ROUND(S154*Assumptions!$B$2,2)</f>
        <v>12.59</v>
      </c>
      <c r="U154" s="5" t="n">
        <f aca="false">S154+T154</f>
        <v>222.35</v>
      </c>
      <c r="V154" s="5" t="n">
        <v>13.17</v>
      </c>
      <c r="W154" s="5" t="n">
        <f aca="false">U154+V154</f>
        <v>235.52</v>
      </c>
      <c r="X154" s="2" t="s">
        <v>46</v>
      </c>
      <c r="Y154" s="2"/>
    </row>
    <row r="155" customFormat="false" ht="15" hidden="false" customHeight="false" outlineLevel="0" collapsed="false">
      <c r="A155" s="2" t="s">
        <v>139</v>
      </c>
      <c r="B155" s="2" t="s">
        <v>140</v>
      </c>
      <c r="C155" s="2" t="s">
        <v>141</v>
      </c>
      <c r="D155" s="2" t="s">
        <v>142</v>
      </c>
      <c r="E155" s="3" t="n">
        <v>41585</v>
      </c>
      <c r="F155" s="4" t="n">
        <v>46223</v>
      </c>
      <c r="G155" s="4" t="n">
        <v>46229</v>
      </c>
      <c r="H155" s="3" t="n">
        <f aca="false">IF(G155="","",G155-F155)</f>
        <v>6</v>
      </c>
      <c r="I155" s="2" t="s">
        <v>143</v>
      </c>
      <c r="J155" s="2" t="s">
        <v>35</v>
      </c>
      <c r="K155" s="2" t="s">
        <v>31</v>
      </c>
      <c r="L155" s="2" t="s">
        <v>32</v>
      </c>
      <c r="M155" s="2" t="s">
        <v>33</v>
      </c>
      <c r="N155" s="3" t="n">
        <v>1</v>
      </c>
      <c r="O155" s="5" t="n">
        <v>14.25</v>
      </c>
      <c r="P155" s="5" t="n">
        <f aca="false">N155*O155</f>
        <v>14.25</v>
      </c>
      <c r="Q155" s="6" t="n">
        <v>0.05</v>
      </c>
      <c r="R155" s="5" t="n">
        <f aca="false">ROUND(P155*Q155,2)</f>
        <v>0.71</v>
      </c>
      <c r="S155" s="5" t="n">
        <f aca="false">P155-R155</f>
        <v>13.54</v>
      </c>
      <c r="T155" s="5" t="n">
        <f aca="false">ROUND(S155*Assumptions!$B$2,2)</f>
        <v>0.81</v>
      </c>
      <c r="U155" s="5" t="n">
        <f aca="false">S155+T155</f>
        <v>14.35</v>
      </c>
      <c r="V155" s="5" t="n">
        <v>16.78</v>
      </c>
      <c r="W155" s="5" t="n">
        <f aca="false">U155+V155</f>
        <v>31.13</v>
      </c>
      <c r="X155" s="2" t="s">
        <v>34</v>
      </c>
      <c r="Y155" s="2"/>
    </row>
    <row r="156" customFormat="false" ht="15" hidden="false" customHeight="false" outlineLevel="0" collapsed="false">
      <c r="A156" s="2" t="s">
        <v>139</v>
      </c>
      <c r="B156" s="2" t="s">
        <v>140</v>
      </c>
      <c r="C156" s="2" t="s">
        <v>141</v>
      </c>
      <c r="D156" s="2" t="s">
        <v>142</v>
      </c>
      <c r="E156" s="3" t="n">
        <v>41586</v>
      </c>
      <c r="F156" s="4" t="n">
        <v>46103</v>
      </c>
      <c r="G156" s="4"/>
      <c r="H156" s="3" t="str">
        <f aca="false">IF(G156="","",G156-F156)</f>
        <v/>
      </c>
      <c r="I156" s="2" t="s">
        <v>143</v>
      </c>
      <c r="J156" s="2" t="s">
        <v>42</v>
      </c>
      <c r="K156" s="2" t="s">
        <v>48</v>
      </c>
      <c r="L156" s="2" t="s">
        <v>77</v>
      </c>
      <c r="M156" s="2" t="s">
        <v>78</v>
      </c>
      <c r="N156" s="3" t="n">
        <v>40</v>
      </c>
      <c r="O156" s="5" t="n">
        <v>18.4</v>
      </c>
      <c r="P156" s="5" t="n">
        <f aca="false">N156*O156</f>
        <v>736</v>
      </c>
      <c r="Q156" s="6" t="n">
        <v>0.1</v>
      </c>
      <c r="R156" s="5" t="n">
        <f aca="false">ROUND(P156*Q156,2)</f>
        <v>73.6</v>
      </c>
      <c r="S156" s="5" t="n">
        <f aca="false">P156-R156</f>
        <v>662.4</v>
      </c>
      <c r="T156" s="5" t="n">
        <f aca="false">ROUND(S156*Assumptions!$B$2,2)</f>
        <v>39.74</v>
      </c>
      <c r="U156" s="5" t="n">
        <f aca="false">S156+T156</f>
        <v>702.14</v>
      </c>
      <c r="V156" s="5" t="n">
        <v>7.72</v>
      </c>
      <c r="W156" s="5" t="n">
        <f aca="false">U156+V156</f>
        <v>709.86</v>
      </c>
      <c r="X156" s="2" t="s">
        <v>39</v>
      </c>
      <c r="Y156" s="2" t="s">
        <v>64</v>
      </c>
    </row>
    <row r="157" customFormat="false" ht="15" hidden="false" customHeight="false" outlineLevel="0" collapsed="false">
      <c r="A157" s="2" t="s">
        <v>139</v>
      </c>
      <c r="B157" s="2" t="s">
        <v>140</v>
      </c>
      <c r="C157" s="2" t="s">
        <v>141</v>
      </c>
      <c r="D157" s="2" t="s">
        <v>142</v>
      </c>
      <c r="E157" s="3" t="n">
        <v>41589</v>
      </c>
      <c r="F157" s="4" t="n">
        <v>46142</v>
      </c>
      <c r="G157" s="4" t="n">
        <v>46151</v>
      </c>
      <c r="H157" s="3" t="n">
        <f aca="false">IF(G157="","",G157-F157)</f>
        <v>9</v>
      </c>
      <c r="I157" s="2" t="s">
        <v>143</v>
      </c>
      <c r="J157" s="2" t="s">
        <v>42</v>
      </c>
      <c r="K157" s="2" t="s">
        <v>48</v>
      </c>
      <c r="L157" s="2" t="s">
        <v>49</v>
      </c>
      <c r="M157" s="2" t="s">
        <v>50</v>
      </c>
      <c r="N157" s="3" t="n">
        <v>3</v>
      </c>
      <c r="O157" s="5" t="n">
        <v>31.9</v>
      </c>
      <c r="P157" s="5" t="n">
        <f aca="false">N157*O157</f>
        <v>95.7</v>
      </c>
      <c r="Q157" s="6" t="n">
        <v>0.15</v>
      </c>
      <c r="R157" s="5" t="n">
        <f aca="false">ROUND(P157*Q157,2)</f>
        <v>14.36</v>
      </c>
      <c r="S157" s="5" t="n">
        <f aca="false">P157-R157</f>
        <v>81.34</v>
      </c>
      <c r="T157" s="5" t="n">
        <f aca="false">ROUND(S157*Assumptions!$B$2,2)</f>
        <v>4.88</v>
      </c>
      <c r="U157" s="5" t="n">
        <f aca="false">S157+T157</f>
        <v>86.22</v>
      </c>
      <c r="V157" s="5" t="n">
        <v>26.33</v>
      </c>
      <c r="W157" s="5" t="n">
        <f aca="false">U157+V157</f>
        <v>112.55</v>
      </c>
      <c r="X157" s="2" t="s">
        <v>34</v>
      </c>
      <c r="Y157" s="2" t="s">
        <v>73</v>
      </c>
    </row>
    <row r="158" customFormat="false" ht="15" hidden="false" customHeight="false" outlineLevel="0" collapsed="false">
      <c r="A158" s="2" t="s">
        <v>139</v>
      </c>
      <c r="B158" s="2" t="s">
        <v>140</v>
      </c>
      <c r="C158" s="2" t="s">
        <v>141</v>
      </c>
      <c r="D158" s="2" t="s">
        <v>142</v>
      </c>
      <c r="E158" s="3" t="n">
        <v>41595</v>
      </c>
      <c r="F158" s="4" t="n">
        <v>46178</v>
      </c>
      <c r="G158" s="4"/>
      <c r="H158" s="3" t="str">
        <f aca="false">IF(G158="","",G158-F158)</f>
        <v/>
      </c>
      <c r="I158" s="2" t="s">
        <v>143</v>
      </c>
      <c r="J158" s="2" t="s">
        <v>35</v>
      </c>
      <c r="K158" s="2" t="s">
        <v>43</v>
      </c>
      <c r="L158" s="2" t="s">
        <v>68</v>
      </c>
      <c r="M158" s="2" t="s">
        <v>69</v>
      </c>
      <c r="N158" s="3" t="n">
        <v>40</v>
      </c>
      <c r="O158" s="5" t="n">
        <v>118</v>
      </c>
      <c r="P158" s="5" t="n">
        <f aca="false">N158*O158</f>
        <v>4720</v>
      </c>
      <c r="Q158" s="6" t="n">
        <v>0</v>
      </c>
      <c r="R158" s="5" t="n">
        <f aca="false">ROUND(P158*Q158,2)</f>
        <v>0</v>
      </c>
      <c r="S158" s="5" t="n">
        <f aca="false">P158-R158</f>
        <v>4720</v>
      </c>
      <c r="T158" s="5" t="n">
        <f aca="false">ROUND(S158*Assumptions!$B$2,2)</f>
        <v>283.2</v>
      </c>
      <c r="U158" s="5" t="n">
        <f aca="false">S158+T158</f>
        <v>5003.2</v>
      </c>
      <c r="V158" s="5" t="n">
        <v>0</v>
      </c>
      <c r="W158" s="5" t="n">
        <f aca="false">U158+V158</f>
        <v>5003.2</v>
      </c>
      <c r="X158" s="2" t="s">
        <v>51</v>
      </c>
      <c r="Y158" s="2" t="s">
        <v>58</v>
      </c>
    </row>
    <row r="159" customFormat="false" ht="15" hidden="false" customHeight="false" outlineLevel="0" collapsed="false">
      <c r="A159" s="2" t="s">
        <v>139</v>
      </c>
      <c r="B159" s="2" t="s">
        <v>140</v>
      </c>
      <c r="C159" s="2" t="s">
        <v>141</v>
      </c>
      <c r="D159" s="2" t="s">
        <v>142</v>
      </c>
      <c r="E159" s="3" t="n">
        <v>41600</v>
      </c>
      <c r="F159" s="4" t="n">
        <v>46248</v>
      </c>
      <c r="G159" s="4" t="n">
        <v>46253</v>
      </c>
      <c r="H159" s="3" t="n">
        <f aca="false">IF(G159="","",G159-F159)</f>
        <v>5</v>
      </c>
      <c r="I159" s="2" t="s">
        <v>143</v>
      </c>
      <c r="J159" s="2" t="s">
        <v>42</v>
      </c>
      <c r="K159" s="2" t="s">
        <v>36</v>
      </c>
      <c r="L159" s="2" t="s">
        <v>37</v>
      </c>
      <c r="M159" s="2" t="s">
        <v>38</v>
      </c>
      <c r="N159" s="3" t="n">
        <v>2</v>
      </c>
      <c r="O159" s="5" t="n">
        <v>27.6</v>
      </c>
      <c r="P159" s="5" t="n">
        <f aca="false">N159*O159</f>
        <v>55.2</v>
      </c>
      <c r="Q159" s="6" t="n">
        <v>0.05</v>
      </c>
      <c r="R159" s="5" t="n">
        <f aca="false">ROUND(P159*Q159,2)</f>
        <v>2.76</v>
      </c>
      <c r="S159" s="5" t="n">
        <f aca="false">P159-R159</f>
        <v>52.44</v>
      </c>
      <c r="T159" s="5" t="n">
        <f aca="false">ROUND(S159*Assumptions!$B$2,2)</f>
        <v>3.15</v>
      </c>
      <c r="U159" s="5" t="n">
        <f aca="false">S159+T159</f>
        <v>55.59</v>
      </c>
      <c r="V159" s="5" t="n">
        <v>21.3</v>
      </c>
      <c r="W159" s="5" t="n">
        <f aca="false">U159+V159</f>
        <v>76.89</v>
      </c>
      <c r="X159" s="2" t="s">
        <v>46</v>
      </c>
      <c r="Y159" s="2"/>
    </row>
    <row r="160" customFormat="false" ht="15" hidden="false" customHeight="false" outlineLevel="0" collapsed="false">
      <c r="A160" s="2" t="s">
        <v>139</v>
      </c>
      <c r="B160" s="2" t="s">
        <v>140</v>
      </c>
      <c r="C160" s="2" t="s">
        <v>141</v>
      </c>
      <c r="D160" s="2" t="s">
        <v>81</v>
      </c>
      <c r="E160" s="3" t="n">
        <v>41601</v>
      </c>
      <c r="F160" s="4" t="n">
        <v>46040</v>
      </c>
      <c r="G160" s="4" t="n">
        <v>46041</v>
      </c>
      <c r="H160" s="3" t="n">
        <f aca="false">IF(G160="","",G160-F160)</f>
        <v>1</v>
      </c>
      <c r="I160" s="2" t="s">
        <v>144</v>
      </c>
      <c r="J160" s="2" t="s">
        <v>42</v>
      </c>
      <c r="K160" s="2" t="s">
        <v>59</v>
      </c>
      <c r="L160" s="2" t="s">
        <v>60</v>
      </c>
      <c r="M160" s="2" t="s">
        <v>61</v>
      </c>
      <c r="N160" s="3" t="n">
        <v>3</v>
      </c>
      <c r="O160" s="5" t="n">
        <v>64.5</v>
      </c>
      <c r="P160" s="5" t="n">
        <f aca="false">N160*O160</f>
        <v>193.5</v>
      </c>
      <c r="Q160" s="6" t="n">
        <v>0</v>
      </c>
      <c r="R160" s="5" t="n">
        <f aca="false">ROUND(P160*Q160,2)</f>
        <v>0</v>
      </c>
      <c r="S160" s="5" t="n">
        <f aca="false">P160-R160</f>
        <v>193.5</v>
      </c>
      <c r="T160" s="5" t="n">
        <f aca="false">ROUND(S160*Assumptions!$B$2,2)</f>
        <v>11.61</v>
      </c>
      <c r="U160" s="5" t="n">
        <f aca="false">S160+T160</f>
        <v>205.11</v>
      </c>
      <c r="V160" s="5" t="n">
        <v>26.73</v>
      </c>
      <c r="W160" s="5" t="n">
        <f aca="false">U160+V160</f>
        <v>231.84</v>
      </c>
      <c r="X160" s="2" t="s">
        <v>46</v>
      </c>
      <c r="Y160" s="2" t="s">
        <v>52</v>
      </c>
    </row>
    <row r="161" customFormat="false" ht="15" hidden="false" customHeight="false" outlineLevel="0" collapsed="false">
      <c r="A161" s="2" t="s">
        <v>139</v>
      </c>
      <c r="B161" s="2" t="s">
        <v>140</v>
      </c>
      <c r="C161" s="2" t="s">
        <v>141</v>
      </c>
      <c r="D161" s="2" t="s">
        <v>81</v>
      </c>
      <c r="E161" s="3" t="n">
        <v>41603</v>
      </c>
      <c r="F161" s="4" t="n">
        <v>46105</v>
      </c>
      <c r="G161" s="4"/>
      <c r="H161" s="3" t="str">
        <f aca="false">IF(G161="","",G161-F161)</f>
        <v/>
      </c>
      <c r="I161" s="2" t="s">
        <v>143</v>
      </c>
      <c r="J161" s="2" t="s">
        <v>35</v>
      </c>
      <c r="K161" s="2" t="s">
        <v>59</v>
      </c>
      <c r="L161" s="2" t="s">
        <v>75</v>
      </c>
      <c r="M161" s="2" t="s">
        <v>76</v>
      </c>
      <c r="N161" s="3" t="n">
        <v>24</v>
      </c>
      <c r="O161" s="5" t="n">
        <v>129</v>
      </c>
      <c r="P161" s="5" t="n">
        <f aca="false">N161*O161</f>
        <v>3096</v>
      </c>
      <c r="Q161" s="6" t="n">
        <v>0</v>
      </c>
      <c r="R161" s="5" t="n">
        <f aca="false">ROUND(P161*Q161,2)</f>
        <v>0</v>
      </c>
      <c r="S161" s="5" t="n">
        <f aca="false">P161-R161</f>
        <v>3096</v>
      </c>
      <c r="T161" s="5" t="n">
        <f aca="false">ROUND(S161*Assumptions!$B$2,2)</f>
        <v>185.76</v>
      </c>
      <c r="U161" s="5" t="n">
        <f aca="false">S161+T161</f>
        <v>3281.76</v>
      </c>
      <c r="V161" s="5" t="n">
        <v>0</v>
      </c>
      <c r="W161" s="5" t="n">
        <f aca="false">U161+V161</f>
        <v>3281.76</v>
      </c>
      <c r="X161" s="2" t="s">
        <v>51</v>
      </c>
      <c r="Y161" s="2"/>
    </row>
    <row r="162" customFormat="false" ht="15" hidden="false" customHeight="false" outlineLevel="0" collapsed="false">
      <c r="A162" s="2" t="s">
        <v>139</v>
      </c>
      <c r="B162" s="2" t="s">
        <v>140</v>
      </c>
      <c r="C162" s="2" t="s">
        <v>141</v>
      </c>
      <c r="D162" s="2" t="s">
        <v>81</v>
      </c>
      <c r="E162" s="3" t="n">
        <v>41605</v>
      </c>
      <c r="F162" s="4" t="n">
        <v>46118</v>
      </c>
      <c r="G162" s="4" t="n">
        <v>46122</v>
      </c>
      <c r="H162" s="3" t="n">
        <f aca="false">IF(G162="","",G162-F162)</f>
        <v>4</v>
      </c>
      <c r="I162" s="2" t="s">
        <v>144</v>
      </c>
      <c r="J162" s="2" t="s">
        <v>42</v>
      </c>
      <c r="K162" s="2" t="s">
        <v>36</v>
      </c>
      <c r="L162" s="2" t="s">
        <v>37</v>
      </c>
      <c r="M162" s="2" t="s">
        <v>38</v>
      </c>
      <c r="N162" s="3" t="n">
        <v>50</v>
      </c>
      <c r="O162" s="5" t="n">
        <v>27.6</v>
      </c>
      <c r="P162" s="5" t="n">
        <f aca="false">N162*O162</f>
        <v>1380</v>
      </c>
      <c r="Q162" s="6" t="n">
        <v>0.1</v>
      </c>
      <c r="R162" s="5" t="n">
        <f aca="false">ROUND(P162*Q162,2)</f>
        <v>138</v>
      </c>
      <c r="S162" s="5" t="n">
        <f aca="false">P162-R162</f>
        <v>1242</v>
      </c>
      <c r="T162" s="5" t="n">
        <f aca="false">ROUND(S162*Assumptions!$B$2,2)</f>
        <v>74.52</v>
      </c>
      <c r="U162" s="5" t="n">
        <f aca="false">S162+T162</f>
        <v>1316.52</v>
      </c>
      <c r="V162" s="5" t="n">
        <v>10.31</v>
      </c>
      <c r="W162" s="5" t="n">
        <f aca="false">U162+V162</f>
        <v>1326.83</v>
      </c>
      <c r="X162" s="2" t="s">
        <v>46</v>
      </c>
      <c r="Y162" s="2"/>
    </row>
    <row r="163" customFormat="false" ht="15" hidden="false" customHeight="false" outlineLevel="0" collapsed="false">
      <c r="A163" s="2" t="s">
        <v>139</v>
      </c>
      <c r="B163" s="2" t="s">
        <v>140</v>
      </c>
      <c r="C163" s="2" t="s">
        <v>141</v>
      </c>
      <c r="D163" s="2" t="s">
        <v>81</v>
      </c>
      <c r="E163" s="3" t="n">
        <v>41612</v>
      </c>
      <c r="F163" s="4" t="n">
        <v>46232</v>
      </c>
      <c r="G163" s="4"/>
      <c r="H163" s="3" t="str">
        <f aca="false">IF(G163="","",G163-F163)</f>
        <v/>
      </c>
      <c r="I163" s="2" t="s">
        <v>143</v>
      </c>
      <c r="J163" s="2" t="s">
        <v>35</v>
      </c>
      <c r="K163" s="2" t="s">
        <v>31</v>
      </c>
      <c r="L163" s="2" t="s">
        <v>32</v>
      </c>
      <c r="M163" s="2" t="s">
        <v>33</v>
      </c>
      <c r="N163" s="3" t="n">
        <v>5</v>
      </c>
      <c r="O163" s="5" t="n">
        <v>14.25</v>
      </c>
      <c r="P163" s="5" t="n">
        <f aca="false">N163*O163</f>
        <v>71.25</v>
      </c>
      <c r="Q163" s="6" t="n">
        <v>0.05</v>
      </c>
      <c r="R163" s="5" t="n">
        <f aca="false">ROUND(P163*Q163,2)</f>
        <v>3.56</v>
      </c>
      <c r="S163" s="5" t="n">
        <f aca="false">P163-R163</f>
        <v>67.69</v>
      </c>
      <c r="T163" s="5" t="n">
        <f aca="false">ROUND(S163*Assumptions!$B$2,2)</f>
        <v>4.06</v>
      </c>
      <c r="U163" s="5" t="n">
        <f aca="false">S163+T163</f>
        <v>71.75</v>
      </c>
      <c r="V163" s="5" t="n">
        <v>0</v>
      </c>
      <c r="W163" s="5" t="n">
        <f aca="false">U163+V163</f>
        <v>71.75</v>
      </c>
      <c r="X163" s="2" t="s">
        <v>51</v>
      </c>
      <c r="Y163" s="2" t="s">
        <v>52</v>
      </c>
    </row>
    <row r="164" customFormat="false" ht="15" hidden="false" customHeight="false" outlineLevel="0" collapsed="false">
      <c r="A164" s="2" t="s">
        <v>139</v>
      </c>
      <c r="B164" s="2" t="s">
        <v>140</v>
      </c>
      <c r="C164" s="2" t="s">
        <v>141</v>
      </c>
      <c r="D164" s="2" t="s">
        <v>145</v>
      </c>
      <c r="E164" s="3" t="n">
        <v>41615</v>
      </c>
      <c r="F164" s="4" t="n">
        <v>46073</v>
      </c>
      <c r="G164" s="4" t="n">
        <v>46075</v>
      </c>
      <c r="H164" s="3" t="n">
        <f aca="false">IF(G164="","",G164-F164)</f>
        <v>2</v>
      </c>
      <c r="I164" s="2" t="s">
        <v>143</v>
      </c>
      <c r="J164" s="2" t="s">
        <v>42</v>
      </c>
      <c r="K164" s="2" t="s">
        <v>31</v>
      </c>
      <c r="L164" s="2" t="s">
        <v>71</v>
      </c>
      <c r="M164" s="2" t="s">
        <v>72</v>
      </c>
      <c r="N164" s="3" t="n">
        <v>1</v>
      </c>
      <c r="O164" s="5" t="n">
        <v>34.99</v>
      </c>
      <c r="P164" s="5" t="n">
        <f aca="false">N164*O164</f>
        <v>34.99</v>
      </c>
      <c r="Q164" s="6" t="n">
        <v>0.1</v>
      </c>
      <c r="R164" s="5" t="n">
        <f aca="false">ROUND(P164*Q164,2)</f>
        <v>3.5</v>
      </c>
      <c r="S164" s="5" t="n">
        <f aca="false">P164-R164</f>
        <v>31.49</v>
      </c>
      <c r="T164" s="5" t="n">
        <f aca="false">ROUND(S164*Assumptions!$B$2,2)</f>
        <v>1.89</v>
      </c>
      <c r="U164" s="5" t="n">
        <f aca="false">S164+T164</f>
        <v>33.38</v>
      </c>
      <c r="V164" s="5" t="n">
        <v>30.95</v>
      </c>
      <c r="W164" s="5" t="n">
        <f aca="false">U164+V164</f>
        <v>64.33</v>
      </c>
      <c r="X164" s="2" t="s">
        <v>34</v>
      </c>
      <c r="Y164" s="2"/>
    </row>
    <row r="165" customFormat="false" ht="15" hidden="false" customHeight="false" outlineLevel="0" collapsed="false">
      <c r="A165" s="2" t="s">
        <v>139</v>
      </c>
      <c r="B165" s="2" t="s">
        <v>140</v>
      </c>
      <c r="C165" s="2" t="s">
        <v>141</v>
      </c>
      <c r="D165" s="2" t="s">
        <v>145</v>
      </c>
      <c r="E165" s="3" t="n">
        <v>41621</v>
      </c>
      <c r="F165" s="4" t="n">
        <v>46137</v>
      </c>
      <c r="G165" s="4" t="n">
        <v>46146</v>
      </c>
      <c r="H165" s="3" t="n">
        <f aca="false">IF(G165="","",G165-F165)</f>
        <v>9</v>
      </c>
      <c r="I165" s="2" t="s">
        <v>144</v>
      </c>
      <c r="J165" s="2" t="s">
        <v>35</v>
      </c>
      <c r="K165" s="2" t="s">
        <v>59</v>
      </c>
      <c r="L165" s="2" t="s">
        <v>82</v>
      </c>
      <c r="M165" s="2" t="s">
        <v>83</v>
      </c>
      <c r="N165" s="3" t="n">
        <v>15</v>
      </c>
      <c r="O165" s="5" t="n">
        <v>99</v>
      </c>
      <c r="P165" s="5" t="n">
        <f aca="false">N165*O165</f>
        <v>1485</v>
      </c>
      <c r="Q165" s="6" t="n">
        <v>0</v>
      </c>
      <c r="R165" s="5" t="n">
        <f aca="false">ROUND(P165*Q165,2)</f>
        <v>0</v>
      </c>
      <c r="S165" s="5" t="n">
        <f aca="false">P165-R165</f>
        <v>1485</v>
      </c>
      <c r="T165" s="5" t="n">
        <f aca="false">ROUND(S165*Assumptions!$B$2,2)</f>
        <v>89.1</v>
      </c>
      <c r="U165" s="5" t="n">
        <f aca="false">S165+T165</f>
        <v>1574.1</v>
      </c>
      <c r="V165" s="5" t="n">
        <v>27.66</v>
      </c>
      <c r="W165" s="5" t="n">
        <f aca="false">U165+V165</f>
        <v>1601.76</v>
      </c>
      <c r="X165" s="2" t="s">
        <v>34</v>
      </c>
      <c r="Y165" s="2" t="s">
        <v>67</v>
      </c>
    </row>
    <row r="166" customFormat="false" ht="15" hidden="false" customHeight="false" outlineLevel="0" collapsed="false">
      <c r="A166" s="2" t="s">
        <v>139</v>
      </c>
      <c r="B166" s="2" t="s">
        <v>140</v>
      </c>
      <c r="C166" s="2" t="s">
        <v>146</v>
      </c>
      <c r="D166" s="2" t="s">
        <v>147</v>
      </c>
      <c r="E166" s="3" t="n">
        <v>41626</v>
      </c>
      <c r="F166" s="4" t="n">
        <v>46204</v>
      </c>
      <c r="G166" s="4"/>
      <c r="H166" s="3" t="str">
        <f aca="false">IF(G166="","",G166-F166)</f>
        <v/>
      </c>
      <c r="I166" s="2" t="s">
        <v>144</v>
      </c>
      <c r="J166" s="2" t="s">
        <v>35</v>
      </c>
      <c r="K166" s="2" t="s">
        <v>43</v>
      </c>
      <c r="L166" s="2" t="s">
        <v>56</v>
      </c>
      <c r="M166" s="2" t="s">
        <v>57</v>
      </c>
      <c r="N166" s="3" t="n">
        <v>5</v>
      </c>
      <c r="O166" s="5" t="n">
        <v>42</v>
      </c>
      <c r="P166" s="5" t="n">
        <f aca="false">N166*O166</f>
        <v>210</v>
      </c>
      <c r="Q166" s="6" t="n">
        <v>0.05</v>
      </c>
      <c r="R166" s="5" t="n">
        <f aca="false">ROUND(P166*Q166,2)</f>
        <v>10.5</v>
      </c>
      <c r="S166" s="5" t="n">
        <f aca="false">P166-R166</f>
        <v>199.5</v>
      </c>
      <c r="T166" s="5" t="n">
        <f aca="false">ROUND(S166*Assumptions!$B$2,2)</f>
        <v>11.97</v>
      </c>
      <c r="U166" s="5" t="n">
        <f aca="false">S166+T166</f>
        <v>211.47</v>
      </c>
      <c r="V166" s="5" t="n">
        <v>0</v>
      </c>
      <c r="W166" s="5" t="n">
        <f aca="false">U166+V166</f>
        <v>211.47</v>
      </c>
      <c r="X166" s="2" t="s">
        <v>51</v>
      </c>
      <c r="Y166" s="2" t="s">
        <v>67</v>
      </c>
    </row>
    <row r="167" customFormat="false" ht="15" hidden="false" customHeight="false" outlineLevel="0" collapsed="false">
      <c r="A167" s="2" t="s">
        <v>139</v>
      </c>
      <c r="B167" s="2" t="s">
        <v>140</v>
      </c>
      <c r="C167" s="2" t="s">
        <v>146</v>
      </c>
      <c r="D167" s="2" t="s">
        <v>147</v>
      </c>
      <c r="E167" s="3" t="n">
        <v>41628</v>
      </c>
      <c r="F167" s="4" t="n">
        <v>46208</v>
      </c>
      <c r="G167" s="4" t="n">
        <v>46214</v>
      </c>
      <c r="H167" s="3" t="n">
        <f aca="false">IF(G167="","",G167-F167)</f>
        <v>6</v>
      </c>
      <c r="I167" s="2" t="s">
        <v>144</v>
      </c>
      <c r="J167" s="2" t="s">
        <v>42</v>
      </c>
      <c r="K167" s="2" t="s">
        <v>31</v>
      </c>
      <c r="L167" s="2" t="s">
        <v>62</v>
      </c>
      <c r="M167" s="2" t="s">
        <v>63</v>
      </c>
      <c r="N167" s="3" t="n">
        <v>20</v>
      </c>
      <c r="O167" s="5" t="n">
        <v>19.5</v>
      </c>
      <c r="P167" s="5" t="n">
        <f aca="false">N167*O167</f>
        <v>390</v>
      </c>
      <c r="Q167" s="6" t="n">
        <v>0</v>
      </c>
      <c r="R167" s="5" t="n">
        <f aca="false">ROUND(P167*Q167,2)</f>
        <v>0</v>
      </c>
      <c r="S167" s="5" t="n">
        <f aca="false">P167-R167</f>
        <v>390</v>
      </c>
      <c r="T167" s="5" t="n">
        <f aca="false">ROUND(S167*Assumptions!$B$2,2)</f>
        <v>23.4</v>
      </c>
      <c r="U167" s="5" t="n">
        <f aca="false">S167+T167</f>
        <v>413.4</v>
      </c>
      <c r="V167" s="5" t="n">
        <v>21.39</v>
      </c>
      <c r="W167" s="5" t="n">
        <f aca="false">U167+V167</f>
        <v>434.79</v>
      </c>
      <c r="X167" s="2" t="s">
        <v>46</v>
      </c>
      <c r="Y167" s="2"/>
    </row>
    <row r="168" customFormat="false" ht="15" hidden="false" customHeight="false" outlineLevel="0" collapsed="false">
      <c r="A168" s="2" t="s">
        <v>139</v>
      </c>
      <c r="B168" s="2" t="s">
        <v>140</v>
      </c>
      <c r="C168" s="2" t="s">
        <v>146</v>
      </c>
      <c r="D168" s="2" t="s">
        <v>147</v>
      </c>
      <c r="E168" s="3" t="n">
        <v>41631</v>
      </c>
      <c r="F168" s="4" t="n">
        <v>46092</v>
      </c>
      <c r="G168" s="4"/>
      <c r="H168" s="3" t="str">
        <f aca="false">IF(G168="","",G168-F168)</f>
        <v/>
      </c>
      <c r="I168" s="2" t="s">
        <v>144</v>
      </c>
      <c r="J168" s="2" t="s">
        <v>30</v>
      </c>
      <c r="K168" s="2" t="s">
        <v>59</v>
      </c>
      <c r="L168" s="2" t="s">
        <v>60</v>
      </c>
      <c r="M168" s="2" t="s">
        <v>61</v>
      </c>
      <c r="N168" s="3" t="n">
        <v>40</v>
      </c>
      <c r="O168" s="5" t="n">
        <v>64.5</v>
      </c>
      <c r="P168" s="5" t="n">
        <f aca="false">N168*O168</f>
        <v>2580</v>
      </c>
      <c r="Q168" s="6" t="n">
        <v>0</v>
      </c>
      <c r="R168" s="5" t="n">
        <f aca="false">ROUND(P168*Q168,2)</f>
        <v>0</v>
      </c>
      <c r="S168" s="5" t="n">
        <f aca="false">P168-R168</f>
        <v>2580</v>
      </c>
      <c r="T168" s="5" t="n">
        <f aca="false">ROUND(S168*Assumptions!$B$2,2)</f>
        <v>154.8</v>
      </c>
      <c r="U168" s="5" t="n">
        <f aca="false">S168+T168</f>
        <v>2734.8</v>
      </c>
      <c r="V168" s="5" t="n">
        <v>0</v>
      </c>
      <c r="W168" s="5" t="n">
        <f aca="false">U168+V168</f>
        <v>2734.8</v>
      </c>
      <c r="X168" s="2" t="s">
        <v>51</v>
      </c>
      <c r="Y168" s="2" t="s">
        <v>67</v>
      </c>
    </row>
    <row r="169" customFormat="false" ht="15" hidden="false" customHeight="false" outlineLevel="0" collapsed="false">
      <c r="A169" s="2" t="s">
        <v>139</v>
      </c>
      <c r="B169" s="2" t="s">
        <v>140</v>
      </c>
      <c r="C169" s="2" t="s">
        <v>146</v>
      </c>
      <c r="D169" s="2" t="s">
        <v>147</v>
      </c>
      <c r="E169" s="3" t="n">
        <v>41635</v>
      </c>
      <c r="F169" s="4" t="n">
        <v>46087</v>
      </c>
      <c r="G169" s="4" t="n">
        <v>46093</v>
      </c>
      <c r="H169" s="3" t="n">
        <f aca="false">IF(G169="","",G169-F169)</f>
        <v>6</v>
      </c>
      <c r="I169" s="2" t="s">
        <v>144</v>
      </c>
      <c r="J169" s="2" t="s">
        <v>30</v>
      </c>
      <c r="K169" s="2" t="s">
        <v>36</v>
      </c>
      <c r="L169" s="2" t="s">
        <v>86</v>
      </c>
      <c r="M169" s="2" t="s">
        <v>87</v>
      </c>
      <c r="N169" s="3" t="n">
        <v>6</v>
      </c>
      <c r="O169" s="5" t="n">
        <v>21.95</v>
      </c>
      <c r="P169" s="5" t="n">
        <f aca="false">N169*O169</f>
        <v>131.7</v>
      </c>
      <c r="Q169" s="6" t="n">
        <v>0.1</v>
      </c>
      <c r="R169" s="5" t="n">
        <f aca="false">ROUND(P169*Q169,2)</f>
        <v>13.17</v>
      </c>
      <c r="S169" s="5" t="n">
        <f aca="false">P169-R169</f>
        <v>118.53</v>
      </c>
      <c r="T169" s="5" t="n">
        <f aca="false">ROUND(S169*Assumptions!$B$2,2)</f>
        <v>7.11</v>
      </c>
      <c r="U169" s="5" t="n">
        <f aca="false">S169+T169</f>
        <v>125.64</v>
      </c>
      <c r="V169" s="5" t="n">
        <v>15.89</v>
      </c>
      <c r="W169" s="5" t="n">
        <f aca="false">U169+V169</f>
        <v>141.53</v>
      </c>
      <c r="X169" s="2" t="s">
        <v>34</v>
      </c>
      <c r="Y169" s="2" t="s">
        <v>47</v>
      </c>
    </row>
    <row r="170" customFormat="false" ht="15" hidden="false" customHeight="false" outlineLevel="0" collapsed="false">
      <c r="A170" s="2" t="s">
        <v>139</v>
      </c>
      <c r="B170" s="2" t="s">
        <v>140</v>
      </c>
      <c r="C170" s="2" t="s">
        <v>146</v>
      </c>
      <c r="D170" s="2" t="s">
        <v>124</v>
      </c>
      <c r="E170" s="3" t="n">
        <v>41636</v>
      </c>
      <c r="F170" s="4" t="n">
        <v>46245</v>
      </c>
      <c r="G170" s="4" t="n">
        <v>46250</v>
      </c>
      <c r="H170" s="3" t="n">
        <f aca="false">IF(G170="","",G170-F170)</f>
        <v>5</v>
      </c>
      <c r="I170" s="2" t="s">
        <v>144</v>
      </c>
      <c r="J170" s="2" t="s">
        <v>30</v>
      </c>
      <c r="K170" s="2" t="s">
        <v>43</v>
      </c>
      <c r="L170" s="2" t="s">
        <v>56</v>
      </c>
      <c r="M170" s="2" t="s">
        <v>57</v>
      </c>
      <c r="N170" s="3" t="n">
        <v>20</v>
      </c>
      <c r="O170" s="5" t="n">
        <v>42</v>
      </c>
      <c r="P170" s="5" t="n">
        <f aca="false">N170*O170</f>
        <v>840</v>
      </c>
      <c r="Q170" s="6" t="n">
        <v>0.05</v>
      </c>
      <c r="R170" s="5" t="n">
        <f aca="false">ROUND(P170*Q170,2)</f>
        <v>42</v>
      </c>
      <c r="S170" s="5" t="n">
        <f aca="false">P170-R170</f>
        <v>798</v>
      </c>
      <c r="T170" s="5" t="n">
        <f aca="false">ROUND(S170*Assumptions!$B$2,2)</f>
        <v>47.88</v>
      </c>
      <c r="U170" s="5" t="n">
        <f aca="false">S170+T170</f>
        <v>845.88</v>
      </c>
      <c r="V170" s="5" t="n">
        <v>7.36</v>
      </c>
      <c r="W170" s="5" t="n">
        <f aca="false">U170+V170</f>
        <v>853.24</v>
      </c>
      <c r="X170" s="2" t="s">
        <v>46</v>
      </c>
      <c r="Y170" s="2"/>
    </row>
    <row r="171" customFormat="false" ht="15" hidden="false" customHeight="false" outlineLevel="0" collapsed="false">
      <c r="A171" s="2" t="s">
        <v>139</v>
      </c>
      <c r="B171" s="2" t="s">
        <v>140</v>
      </c>
      <c r="C171" s="2" t="s">
        <v>146</v>
      </c>
      <c r="D171" s="2" t="s">
        <v>124</v>
      </c>
      <c r="E171" s="3" t="n">
        <v>41640</v>
      </c>
      <c r="F171" s="4" t="n">
        <v>46059</v>
      </c>
      <c r="G171" s="4" t="n">
        <v>46065</v>
      </c>
      <c r="H171" s="3" t="n">
        <f aca="false">IF(G171="","",G171-F171)</f>
        <v>6</v>
      </c>
      <c r="I171" s="2" t="s">
        <v>144</v>
      </c>
      <c r="J171" s="2" t="s">
        <v>30</v>
      </c>
      <c r="K171" s="2" t="s">
        <v>31</v>
      </c>
      <c r="L171" s="2" t="s">
        <v>71</v>
      </c>
      <c r="M171" s="2" t="s">
        <v>72</v>
      </c>
      <c r="N171" s="3" t="n">
        <v>15</v>
      </c>
      <c r="O171" s="5" t="n">
        <v>34.99</v>
      </c>
      <c r="P171" s="5" t="n">
        <f aca="false">N171*O171</f>
        <v>524.85</v>
      </c>
      <c r="Q171" s="6" t="n">
        <v>0.15</v>
      </c>
      <c r="R171" s="5" t="n">
        <f aca="false">ROUND(P171*Q171,2)</f>
        <v>78.73</v>
      </c>
      <c r="S171" s="5" t="n">
        <f aca="false">P171-R171</f>
        <v>446.12</v>
      </c>
      <c r="T171" s="5" t="n">
        <f aca="false">ROUND(S171*Assumptions!$B$2,2)</f>
        <v>26.77</v>
      </c>
      <c r="U171" s="5" t="n">
        <f aca="false">S171+T171</f>
        <v>472.89</v>
      </c>
      <c r="V171" s="5" t="n">
        <v>8.03</v>
      </c>
      <c r="W171" s="5" t="n">
        <f aca="false">U171+V171</f>
        <v>480.92</v>
      </c>
      <c r="X171" s="2" t="s">
        <v>46</v>
      </c>
      <c r="Y171" s="2"/>
    </row>
    <row r="172" customFormat="false" ht="15" hidden="false" customHeight="false" outlineLevel="0" collapsed="false">
      <c r="A172" s="2" t="s">
        <v>139</v>
      </c>
      <c r="B172" s="2" t="s">
        <v>148</v>
      </c>
      <c r="C172" s="2" t="s">
        <v>149</v>
      </c>
      <c r="D172" s="2" t="s">
        <v>150</v>
      </c>
      <c r="E172" s="3" t="n">
        <v>41647</v>
      </c>
      <c r="F172" s="4" t="n">
        <v>46109</v>
      </c>
      <c r="G172" s="4"/>
      <c r="H172" s="3" t="str">
        <f aca="false">IF(G172="","",G172-F172)</f>
        <v/>
      </c>
      <c r="I172" s="2" t="s">
        <v>143</v>
      </c>
      <c r="J172" s="2" t="s">
        <v>35</v>
      </c>
      <c r="K172" s="2" t="s">
        <v>43</v>
      </c>
      <c r="L172" s="2" t="s">
        <v>56</v>
      </c>
      <c r="M172" s="2" t="s">
        <v>57</v>
      </c>
      <c r="N172" s="3" t="n">
        <v>1</v>
      </c>
      <c r="O172" s="5" t="n">
        <v>42</v>
      </c>
      <c r="P172" s="5" t="n">
        <f aca="false">N172*O172</f>
        <v>42</v>
      </c>
      <c r="Q172" s="6" t="n">
        <v>0.15</v>
      </c>
      <c r="R172" s="5" t="n">
        <f aca="false">ROUND(P172*Q172,2)</f>
        <v>6.3</v>
      </c>
      <c r="S172" s="5" t="n">
        <f aca="false">P172-R172</f>
        <v>35.7</v>
      </c>
      <c r="T172" s="5" t="n">
        <f aca="false">ROUND(S172*Assumptions!$B$2,2)</f>
        <v>2.14</v>
      </c>
      <c r="U172" s="5" t="n">
        <f aca="false">S172+T172</f>
        <v>37.84</v>
      </c>
      <c r="V172" s="5" t="n">
        <v>0</v>
      </c>
      <c r="W172" s="5" t="n">
        <f aca="false">U172+V172</f>
        <v>37.84</v>
      </c>
      <c r="X172" s="2" t="s">
        <v>51</v>
      </c>
      <c r="Y172" s="2" t="s">
        <v>67</v>
      </c>
    </row>
    <row r="173" customFormat="false" ht="15" hidden="false" customHeight="false" outlineLevel="0" collapsed="false">
      <c r="A173" s="2" t="s">
        <v>139</v>
      </c>
      <c r="B173" s="2" t="s">
        <v>148</v>
      </c>
      <c r="C173" s="2" t="s">
        <v>149</v>
      </c>
      <c r="D173" s="2" t="s">
        <v>150</v>
      </c>
      <c r="E173" s="3" t="n">
        <v>41654</v>
      </c>
      <c r="F173" s="4" t="n">
        <v>46144</v>
      </c>
      <c r="G173" s="4" t="n">
        <v>46151</v>
      </c>
      <c r="H173" s="3" t="n">
        <f aca="false">IF(G173="","",G173-F173)</f>
        <v>7</v>
      </c>
      <c r="I173" s="2" t="s">
        <v>143</v>
      </c>
      <c r="J173" s="2" t="s">
        <v>35</v>
      </c>
      <c r="K173" s="2" t="s">
        <v>48</v>
      </c>
      <c r="L173" s="2" t="s">
        <v>49</v>
      </c>
      <c r="M173" s="2" t="s">
        <v>50</v>
      </c>
      <c r="N173" s="3" t="n">
        <v>50</v>
      </c>
      <c r="O173" s="5" t="n">
        <v>31.9</v>
      </c>
      <c r="P173" s="5" t="n">
        <f aca="false">N173*O173</f>
        <v>1595</v>
      </c>
      <c r="Q173" s="6" t="n">
        <v>0.05</v>
      </c>
      <c r="R173" s="5" t="n">
        <f aca="false">ROUND(P173*Q173,2)</f>
        <v>79.75</v>
      </c>
      <c r="S173" s="5" t="n">
        <f aca="false">P173-R173</f>
        <v>1515.25</v>
      </c>
      <c r="T173" s="5" t="n">
        <f aca="false">ROUND(S173*Assumptions!$B$2,2)</f>
        <v>90.92</v>
      </c>
      <c r="U173" s="5" t="n">
        <f aca="false">S173+T173</f>
        <v>1606.17</v>
      </c>
      <c r="V173" s="5" t="n">
        <v>21.03</v>
      </c>
      <c r="W173" s="5" t="n">
        <f aca="false">U173+V173</f>
        <v>1627.2</v>
      </c>
      <c r="X173" s="2" t="s">
        <v>46</v>
      </c>
      <c r="Y173" s="2" t="s">
        <v>73</v>
      </c>
    </row>
    <row r="174" customFormat="false" ht="15" hidden="false" customHeight="false" outlineLevel="0" collapsed="false">
      <c r="A174" s="2" t="s">
        <v>139</v>
      </c>
      <c r="B174" s="2" t="s">
        <v>148</v>
      </c>
      <c r="C174" s="2" t="s">
        <v>149</v>
      </c>
      <c r="D174" s="2" t="s">
        <v>150</v>
      </c>
      <c r="E174" s="3" t="n">
        <v>41661</v>
      </c>
      <c r="F174" s="4" t="n">
        <v>46115</v>
      </c>
      <c r="G174" s="4" t="n">
        <v>46116</v>
      </c>
      <c r="H174" s="3" t="n">
        <f aca="false">IF(G174="","",G174-F174)</f>
        <v>1</v>
      </c>
      <c r="I174" s="2" t="s">
        <v>144</v>
      </c>
      <c r="J174" s="2" t="s">
        <v>30</v>
      </c>
      <c r="K174" s="2" t="s">
        <v>43</v>
      </c>
      <c r="L174" s="2" t="s">
        <v>68</v>
      </c>
      <c r="M174" s="2" t="s">
        <v>69</v>
      </c>
      <c r="N174" s="3" t="n">
        <v>24</v>
      </c>
      <c r="O174" s="5" t="n">
        <v>118</v>
      </c>
      <c r="P174" s="5" t="n">
        <f aca="false">N174*O174</f>
        <v>2832</v>
      </c>
      <c r="Q174" s="6" t="n">
        <v>0</v>
      </c>
      <c r="R174" s="5" t="n">
        <f aca="false">ROUND(P174*Q174,2)</f>
        <v>0</v>
      </c>
      <c r="S174" s="5" t="n">
        <f aca="false">P174-R174</f>
        <v>2832</v>
      </c>
      <c r="T174" s="5" t="n">
        <f aca="false">ROUND(S174*Assumptions!$B$2,2)</f>
        <v>169.92</v>
      </c>
      <c r="U174" s="5" t="n">
        <f aca="false">S174+T174</f>
        <v>3001.92</v>
      </c>
      <c r="V174" s="5" t="n">
        <v>9.02</v>
      </c>
      <c r="W174" s="5" t="n">
        <f aca="false">U174+V174</f>
        <v>3010.94</v>
      </c>
      <c r="X174" s="2" t="s">
        <v>46</v>
      </c>
      <c r="Y174" s="2"/>
    </row>
    <row r="175" customFormat="false" ht="15" hidden="false" customHeight="false" outlineLevel="0" collapsed="false">
      <c r="A175" s="2" t="s">
        <v>139</v>
      </c>
      <c r="B175" s="2" t="s">
        <v>148</v>
      </c>
      <c r="C175" s="2" t="s">
        <v>149</v>
      </c>
      <c r="D175" s="2" t="s">
        <v>151</v>
      </c>
      <c r="E175" s="3" t="n">
        <v>41668</v>
      </c>
      <c r="F175" s="4" t="n">
        <v>46135</v>
      </c>
      <c r="G175" s="4" t="n">
        <v>46142</v>
      </c>
      <c r="H175" s="3" t="n">
        <f aca="false">IF(G175="","",G175-F175)</f>
        <v>7</v>
      </c>
      <c r="I175" s="2" t="s">
        <v>143</v>
      </c>
      <c r="J175" s="2" t="s">
        <v>30</v>
      </c>
      <c r="K175" s="2" t="s">
        <v>59</v>
      </c>
      <c r="L175" s="2" t="s">
        <v>60</v>
      </c>
      <c r="M175" s="2" t="s">
        <v>61</v>
      </c>
      <c r="N175" s="3" t="n">
        <v>8</v>
      </c>
      <c r="O175" s="5" t="n">
        <v>64.5</v>
      </c>
      <c r="P175" s="5" t="n">
        <f aca="false">N175*O175</f>
        <v>516</v>
      </c>
      <c r="Q175" s="6" t="n">
        <v>0</v>
      </c>
      <c r="R175" s="5" t="n">
        <f aca="false">ROUND(P175*Q175,2)</f>
        <v>0</v>
      </c>
      <c r="S175" s="5" t="n">
        <f aca="false">P175-R175</f>
        <v>516</v>
      </c>
      <c r="T175" s="5" t="n">
        <f aca="false">ROUND(S175*Assumptions!$B$2,2)</f>
        <v>30.96</v>
      </c>
      <c r="U175" s="5" t="n">
        <f aca="false">S175+T175</f>
        <v>546.96</v>
      </c>
      <c r="V175" s="5" t="n">
        <v>12.14</v>
      </c>
      <c r="W175" s="5" t="n">
        <f aca="false">U175+V175</f>
        <v>559.1</v>
      </c>
      <c r="X175" s="2" t="s">
        <v>46</v>
      </c>
      <c r="Y175" s="2"/>
    </row>
    <row r="176" customFormat="false" ht="15" hidden="false" customHeight="false" outlineLevel="0" collapsed="false">
      <c r="A176" s="2" t="s">
        <v>139</v>
      </c>
      <c r="B176" s="2" t="s">
        <v>148</v>
      </c>
      <c r="C176" s="2" t="s">
        <v>149</v>
      </c>
      <c r="D176" s="2" t="s">
        <v>151</v>
      </c>
      <c r="E176" s="3" t="n">
        <v>41669</v>
      </c>
      <c r="F176" s="4" t="n">
        <v>46225</v>
      </c>
      <c r="G176" s="4" t="n">
        <v>46234</v>
      </c>
      <c r="H176" s="3" t="n">
        <f aca="false">IF(G176="","",G176-F176)</f>
        <v>9</v>
      </c>
      <c r="I176" s="2" t="s">
        <v>143</v>
      </c>
      <c r="J176" s="2" t="s">
        <v>42</v>
      </c>
      <c r="K176" s="2" t="s">
        <v>31</v>
      </c>
      <c r="L176" s="2" t="s">
        <v>32</v>
      </c>
      <c r="M176" s="2" t="s">
        <v>33</v>
      </c>
      <c r="N176" s="3" t="n">
        <v>5</v>
      </c>
      <c r="O176" s="5" t="n">
        <v>14.25</v>
      </c>
      <c r="P176" s="5" t="n">
        <f aca="false">N176*O176</f>
        <v>71.25</v>
      </c>
      <c r="Q176" s="6" t="n">
        <v>0.05</v>
      </c>
      <c r="R176" s="5" t="n">
        <f aca="false">ROUND(P176*Q176,2)</f>
        <v>3.56</v>
      </c>
      <c r="S176" s="5" t="n">
        <f aca="false">P176-R176</f>
        <v>67.69</v>
      </c>
      <c r="T176" s="5" t="n">
        <f aca="false">ROUND(S176*Assumptions!$B$2,2)</f>
        <v>4.06</v>
      </c>
      <c r="U176" s="5" t="n">
        <f aca="false">S176+T176</f>
        <v>71.75</v>
      </c>
      <c r="V176" s="5" t="n">
        <v>19.99</v>
      </c>
      <c r="W176" s="5" t="n">
        <f aca="false">U176+V176</f>
        <v>91.74</v>
      </c>
      <c r="X176" s="2" t="s">
        <v>34</v>
      </c>
      <c r="Y176" s="2" t="s">
        <v>58</v>
      </c>
    </row>
    <row r="177" customFormat="false" ht="15" hidden="false" customHeight="false" outlineLevel="0" collapsed="false">
      <c r="A177" s="2" t="s">
        <v>139</v>
      </c>
      <c r="B177" s="2" t="s">
        <v>148</v>
      </c>
      <c r="C177" s="2" t="s">
        <v>149</v>
      </c>
      <c r="D177" s="2" t="s">
        <v>88</v>
      </c>
      <c r="E177" s="3" t="n">
        <v>41672</v>
      </c>
      <c r="F177" s="4" t="n">
        <v>46060</v>
      </c>
      <c r="G177" s="4" t="n">
        <v>46061</v>
      </c>
      <c r="H177" s="3" t="n">
        <f aca="false">IF(G177="","",G177-F177)</f>
        <v>1</v>
      </c>
      <c r="I177" s="2" t="s">
        <v>143</v>
      </c>
      <c r="J177" s="2" t="s">
        <v>42</v>
      </c>
      <c r="K177" s="2" t="s">
        <v>59</v>
      </c>
      <c r="L177" s="2" t="s">
        <v>75</v>
      </c>
      <c r="M177" s="2" t="s">
        <v>76</v>
      </c>
      <c r="N177" s="3" t="n">
        <v>25</v>
      </c>
      <c r="O177" s="5" t="n">
        <v>129</v>
      </c>
      <c r="P177" s="5" t="n">
        <f aca="false">N177*O177</f>
        <v>3225</v>
      </c>
      <c r="Q177" s="6" t="n">
        <v>0</v>
      </c>
      <c r="R177" s="5" t="n">
        <f aca="false">ROUND(P177*Q177,2)</f>
        <v>0</v>
      </c>
      <c r="S177" s="5" t="n">
        <f aca="false">P177-R177</f>
        <v>3225</v>
      </c>
      <c r="T177" s="5" t="n">
        <f aca="false">ROUND(S177*Assumptions!$B$2,2)</f>
        <v>193.5</v>
      </c>
      <c r="U177" s="5" t="n">
        <f aca="false">S177+T177</f>
        <v>3418.5</v>
      </c>
      <c r="V177" s="5" t="n">
        <v>23.03</v>
      </c>
      <c r="W177" s="5" t="n">
        <f aca="false">U177+V177</f>
        <v>3441.53</v>
      </c>
      <c r="X177" s="2" t="s">
        <v>34</v>
      </c>
      <c r="Y177" s="2"/>
    </row>
    <row r="178" customFormat="false" ht="15" hidden="false" customHeight="false" outlineLevel="0" collapsed="false">
      <c r="A178" s="2" t="s">
        <v>139</v>
      </c>
      <c r="B178" s="2" t="s">
        <v>148</v>
      </c>
      <c r="C178" s="2" t="s">
        <v>149</v>
      </c>
      <c r="D178" s="2" t="s">
        <v>88</v>
      </c>
      <c r="E178" s="3" t="n">
        <v>41677</v>
      </c>
      <c r="F178" s="4" t="n">
        <v>46089</v>
      </c>
      <c r="G178" s="4" t="n">
        <v>46098</v>
      </c>
      <c r="H178" s="3" t="n">
        <f aca="false">IF(G178="","",G178-F178)</f>
        <v>9</v>
      </c>
      <c r="I178" s="2" t="s">
        <v>143</v>
      </c>
      <c r="J178" s="2" t="s">
        <v>42</v>
      </c>
      <c r="K178" s="2" t="s">
        <v>43</v>
      </c>
      <c r="L178" s="2" t="s">
        <v>56</v>
      </c>
      <c r="M178" s="2" t="s">
        <v>57</v>
      </c>
      <c r="N178" s="3" t="n">
        <v>2</v>
      </c>
      <c r="O178" s="5" t="n">
        <v>42</v>
      </c>
      <c r="P178" s="5" t="n">
        <f aca="false">N178*O178</f>
        <v>84</v>
      </c>
      <c r="Q178" s="6" t="n">
        <v>0.05</v>
      </c>
      <c r="R178" s="5" t="n">
        <f aca="false">ROUND(P178*Q178,2)</f>
        <v>4.2</v>
      </c>
      <c r="S178" s="5" t="n">
        <f aca="false">P178-R178</f>
        <v>79.8</v>
      </c>
      <c r="T178" s="5" t="n">
        <f aca="false">ROUND(S178*Assumptions!$B$2,2)</f>
        <v>4.79</v>
      </c>
      <c r="U178" s="5" t="n">
        <f aca="false">S178+T178</f>
        <v>84.59</v>
      </c>
      <c r="V178" s="5" t="n">
        <v>13.74</v>
      </c>
      <c r="W178" s="5" t="n">
        <f aca="false">U178+V178</f>
        <v>98.33</v>
      </c>
      <c r="X178" s="2" t="s">
        <v>46</v>
      </c>
      <c r="Y178" s="2" t="s">
        <v>58</v>
      </c>
    </row>
    <row r="179" customFormat="false" ht="15" hidden="false" customHeight="false" outlineLevel="0" collapsed="false">
      <c r="A179" s="2" t="s">
        <v>139</v>
      </c>
      <c r="B179" s="2" t="s">
        <v>148</v>
      </c>
      <c r="C179" s="2" t="s">
        <v>149</v>
      </c>
      <c r="D179" s="2" t="s">
        <v>88</v>
      </c>
      <c r="E179" s="3" t="n">
        <v>41678</v>
      </c>
      <c r="F179" s="4" t="n">
        <v>46153</v>
      </c>
      <c r="G179" s="4"/>
      <c r="H179" s="3" t="str">
        <f aca="false">IF(G179="","",G179-F179)</f>
        <v/>
      </c>
      <c r="I179" s="2" t="s">
        <v>143</v>
      </c>
      <c r="J179" s="2" t="s">
        <v>30</v>
      </c>
      <c r="K179" s="2" t="s">
        <v>31</v>
      </c>
      <c r="L179" s="2" t="s">
        <v>62</v>
      </c>
      <c r="M179" s="2" t="s">
        <v>63</v>
      </c>
      <c r="N179" s="3" t="n">
        <v>30</v>
      </c>
      <c r="O179" s="5" t="n">
        <v>19.5</v>
      </c>
      <c r="P179" s="5" t="n">
        <f aca="false">N179*O179</f>
        <v>585</v>
      </c>
      <c r="Q179" s="6" t="n">
        <v>0</v>
      </c>
      <c r="R179" s="5" t="n">
        <f aca="false">ROUND(P179*Q179,2)</f>
        <v>0</v>
      </c>
      <c r="S179" s="5" t="n">
        <f aca="false">P179-R179</f>
        <v>585</v>
      </c>
      <c r="T179" s="5" t="n">
        <f aca="false">ROUND(S179*Assumptions!$B$2,2)</f>
        <v>35.1</v>
      </c>
      <c r="U179" s="5" t="n">
        <f aca="false">S179+T179</f>
        <v>620.1</v>
      </c>
      <c r="V179" s="5" t="n">
        <v>0</v>
      </c>
      <c r="W179" s="5" t="n">
        <f aca="false">U179+V179</f>
        <v>620.1</v>
      </c>
      <c r="X179" s="2" t="s">
        <v>51</v>
      </c>
      <c r="Y179" s="2" t="s">
        <v>84</v>
      </c>
    </row>
    <row r="180" customFormat="false" ht="15" hidden="false" customHeight="false" outlineLevel="0" collapsed="false">
      <c r="A180" s="2" t="s">
        <v>139</v>
      </c>
      <c r="B180" s="2" t="s">
        <v>148</v>
      </c>
      <c r="C180" s="2" t="s">
        <v>149</v>
      </c>
      <c r="D180" s="2" t="s">
        <v>88</v>
      </c>
      <c r="E180" s="3" t="n">
        <v>41682</v>
      </c>
      <c r="F180" s="4" t="n">
        <v>46028</v>
      </c>
      <c r="G180" s="4" t="n">
        <v>46037</v>
      </c>
      <c r="H180" s="3" t="n">
        <f aca="false">IF(G180="","",G180-F180)</f>
        <v>9</v>
      </c>
      <c r="I180" s="2" t="s">
        <v>144</v>
      </c>
      <c r="J180" s="2" t="s">
        <v>35</v>
      </c>
      <c r="K180" s="2" t="s">
        <v>36</v>
      </c>
      <c r="L180" s="2" t="s">
        <v>93</v>
      </c>
      <c r="M180" s="2" t="s">
        <v>94</v>
      </c>
      <c r="N180" s="3" t="n">
        <v>6</v>
      </c>
      <c r="O180" s="5" t="n">
        <v>16.8</v>
      </c>
      <c r="P180" s="5" t="n">
        <f aca="false">N180*O180</f>
        <v>100.8</v>
      </c>
      <c r="Q180" s="6" t="n">
        <v>0</v>
      </c>
      <c r="R180" s="5" t="n">
        <f aca="false">ROUND(P180*Q180,2)</f>
        <v>0</v>
      </c>
      <c r="S180" s="5" t="n">
        <f aca="false">P180-R180</f>
        <v>100.8</v>
      </c>
      <c r="T180" s="5" t="n">
        <f aca="false">ROUND(S180*Assumptions!$B$2,2)</f>
        <v>6.05</v>
      </c>
      <c r="U180" s="5" t="n">
        <f aca="false">S180+T180</f>
        <v>106.85</v>
      </c>
      <c r="V180" s="5" t="n">
        <v>36.23</v>
      </c>
      <c r="W180" s="5" t="n">
        <f aca="false">U180+V180</f>
        <v>143.08</v>
      </c>
      <c r="X180" s="2" t="s">
        <v>46</v>
      </c>
      <c r="Y180" s="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1" t="s">
        <v>152</v>
      </c>
      <c r="B1" s="1" t="s">
        <v>153</v>
      </c>
    </row>
    <row r="2" customFormat="false" ht="15" hidden="false" customHeight="false" outlineLevel="0" collapsed="false">
      <c r="A2" s="2" t="s">
        <v>154</v>
      </c>
      <c r="B2" s="7" t="n">
        <v>0.06</v>
      </c>
    </row>
    <row r="3" customFormat="false" ht="15" hidden="false" customHeight="false" outlineLevel="0" collapsed="false">
      <c r="A3" s="2" t="s">
        <v>155</v>
      </c>
      <c r="B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2026-09-11T18:45:46Z</dcterms:created>
  <dc:creator>openpyxl</dc:creator>
  <dc:description/>
  <dc:language>en-US</dc:language>
  <cp:lastModifiedBy/>
  <dcterms:modified xsi:type="dcterms:W3CDTF">2026-09-11T18:45:46Z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